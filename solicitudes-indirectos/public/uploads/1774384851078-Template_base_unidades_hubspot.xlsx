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en\Downloads\"/>
    </mc:Choice>
  </mc:AlternateContent>
  <xr:revisionPtr revIDLastSave="0" documentId="13_ncr:1_{966A7CBF-99C3-48A2-98FA-894B0B399349}" xr6:coauthVersionLast="47" xr6:coauthVersionMax="47" xr10:uidLastSave="{00000000-0000-0000-0000-000000000000}"/>
  <bookViews>
    <workbookView xWindow="-108" yWindow="-108" windowWidth="41496" windowHeight="16776" xr2:uid="{C96EDE87-7DF5-4221-BE08-C95AFE9A24C9}"/>
  </bookViews>
  <sheets>
    <sheet name="hubspot-crm-exports-todos-los-r" sheetId="2" r:id="rId1"/>
  </sheets>
  <definedNames>
    <definedName name="DatosExternos_1" localSheetId="0" hidden="1">'hubspot-crm-exports-todos-los-r'!$A$1:$S$49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DE461-21EB-44F0-BE98-E84A0F301396}" keepAlive="1" name="Consulta - hubspot-crm-exports-todos-los-registros-2026-03-24-3" description="Conexión a la consulta 'hubspot-crm-exports-todos-los-registros-2026-03-24-3' en el libro." type="5" refreshedVersion="8" background="1" saveData="1">
    <dbPr connection="Provider=Microsoft.Mashup.OleDb.1;Data Source=$Workbook$;Location=hubspot-crm-exports-todos-los-registros-2026-03-24-3;Extended Properties=&quot;&quot;" command="SELECT * FROM [hubspot-crm-exports-todos-los-registros-2026-03-24-3]"/>
  </connection>
</connections>
</file>

<file path=xl/sharedStrings.xml><?xml version="1.0" encoding="utf-8"?>
<sst xmlns="http://schemas.openxmlformats.org/spreadsheetml/2006/main" count="259" uniqueCount="71">
  <si>
    <t>ID de registro</t>
  </si>
  <si>
    <t>Nomenclatura</t>
  </si>
  <si>
    <t>Piso</t>
  </si>
  <si>
    <t>Vista</t>
  </si>
  <si>
    <t>No. de Alcobas</t>
  </si>
  <si>
    <t>No. de Baños</t>
  </si>
  <si>
    <t>Área Apartamento (m²)</t>
  </si>
  <si>
    <t>Área Terraza (m²)</t>
  </si>
  <si>
    <t>Área Total (m²)</t>
  </si>
  <si>
    <t>Valor por m² (Factibiliad)</t>
  </si>
  <si>
    <t>Valor unidad (Factibilidad)</t>
  </si>
  <si>
    <t>Valor m² (Comercial)</t>
  </si>
  <si>
    <t>Valor unidad (Comercial)</t>
  </si>
  <si>
    <t>Bono</t>
  </si>
  <si>
    <t>Valor m² (Con descuento)</t>
  </si>
  <si>
    <t>Valor unidad (Con descuento)</t>
  </si>
  <si>
    <t>Tipo de apartamento</t>
  </si>
  <si>
    <t>Tipo de unidad</t>
  </si>
  <si>
    <t>Etapa</t>
  </si>
  <si>
    <t/>
  </si>
  <si>
    <t>Apartamento</t>
  </si>
  <si>
    <t>Etapa 1</t>
  </si>
  <si>
    <t>Botanika</t>
  </si>
  <si>
    <t>LIVA - 608</t>
  </si>
  <si>
    <t>LIVA - 607</t>
  </si>
  <si>
    <t>LIVA - 606</t>
  </si>
  <si>
    <t>LIVA - 605</t>
  </si>
  <si>
    <t>LIVA - 604</t>
  </si>
  <si>
    <t>LIVA - 603</t>
  </si>
  <si>
    <t>LIVA - 602</t>
  </si>
  <si>
    <t>LIVA - 601</t>
  </si>
  <si>
    <t>LIVA - 508</t>
  </si>
  <si>
    <t>LIVA - 507</t>
  </si>
  <si>
    <t>LIVA - 506</t>
  </si>
  <si>
    <t>LIVA - 505</t>
  </si>
  <si>
    <t>LIVA - 504</t>
  </si>
  <si>
    <t>LIVA - 503</t>
  </si>
  <si>
    <t>LIVA - 502</t>
  </si>
  <si>
    <t>LIVA - 501</t>
  </si>
  <si>
    <t>LIVA - 408</t>
  </si>
  <si>
    <t>LIVA - 407</t>
  </si>
  <si>
    <t>LIVA - 406</t>
  </si>
  <si>
    <t>LIVA - 405</t>
  </si>
  <si>
    <t>LIVA - 404</t>
  </si>
  <si>
    <t>LIVA - 403</t>
  </si>
  <si>
    <t>LIVA - 402</t>
  </si>
  <si>
    <t>LIVA - 401</t>
  </si>
  <si>
    <t>LIVA - 308</t>
  </si>
  <si>
    <t>LIVA - 307</t>
  </si>
  <si>
    <t>LIVA - 306</t>
  </si>
  <si>
    <t>LIVA - 305</t>
  </si>
  <si>
    <t>LIVA - 304</t>
  </si>
  <si>
    <t>LIVA - 303</t>
  </si>
  <si>
    <t>LIVA - 302</t>
  </si>
  <si>
    <t>LIVA - 301</t>
  </si>
  <si>
    <t>LIVA - 208</t>
  </si>
  <si>
    <t>LIVA - 207</t>
  </si>
  <si>
    <t>LIVA - 206</t>
  </si>
  <si>
    <t>LIVA - 205</t>
  </si>
  <si>
    <t>LIVA - 204</t>
  </si>
  <si>
    <t>LIVA - 203</t>
  </si>
  <si>
    <t>LIVA - 202</t>
  </si>
  <si>
    <t>LIVA - 201</t>
  </si>
  <si>
    <t>LIVA - 108</t>
  </si>
  <si>
    <t>LIVA - 107</t>
  </si>
  <si>
    <t>LIVA - 106</t>
  </si>
  <si>
    <t>LIVA - 105</t>
  </si>
  <si>
    <t>LIVA - 104</t>
  </si>
  <si>
    <t>LIVA - 103</t>
  </si>
  <si>
    <t>LIVA - 102</t>
  </si>
  <si>
    <t>LIVA - 101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</si>
</sst>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3AEDB9F-CCC6-472F-AA11-25EC99FEEF4F}" autoFormatId="16" applyNumberFormats="0" applyBorderFormats="0" applyFontFormats="0" applyPatternFormats="0" applyAlignmentFormats="0" applyWidthHeightFormats="0">
  <queryTableRefresh nextId="24">
    <queryTableFields count="19">
      <queryTableField id="1" name="ID de registro" tableColumnId="1"/>
      <queryTableField id="2" name="Nomenclatura" tableColumnId="2"/>
      <queryTableField id="3" name="Piso" tableColumnId="3"/>
      <queryTableField id="4" name="Vista" tableColumnId="4"/>
      <queryTableField id="5" name="No. de Alcobas" tableColumnId="5"/>
      <queryTableField id="6" name="No. de Baños" tableColumnId="6"/>
      <queryTableField id="7" name="Área Apartamento (m²)" tableColumnId="7"/>
      <queryTableField id="8" name="Área Terraza (m²)" tableColumnId="8"/>
      <queryTableField id="9" name="Área Total (m²)" tableColumnId="9"/>
      <queryTableField id="10" name="Valor por m² (Factibiliad)" tableColumnId="10"/>
      <queryTableField id="11" name="Valor unidad (Factibilidad)" tableColumnId="11"/>
      <queryTableField id="12" name="Valor m² (Comercial)" tableColumnId="12"/>
      <queryTableField id="13" name="Valor unidad (Comercial)" tableColumnId="13"/>
      <queryTableField id="14" name="Bono" tableColumnId="14"/>
      <queryTableField id="15" name="Valor m² (Con descuento)" tableColumnId="15"/>
      <queryTableField id="16" name="Valor unidad (Con descuento)" tableColumnId="16"/>
      <queryTableField id="19" name="Tipo de apartamento" tableColumnId="19"/>
      <queryTableField id="20" name="Tipo de unidad" tableColumnId="20"/>
      <queryTableField id="21" name="Etapa" tableColumnId="21"/>
    </queryTableFields>
    <queryTableDeletedFields count="4">
      <deletedField name="Associated Proyecto inmobiliario"/>
      <deletedField name="Associated Torre"/>
      <deletedField name="Associated Torre IDs"/>
      <deletedField name="Associated Proyecto inmobiliario ID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F7E16-46FA-4996-B34C-56989C4E52E0}" name="hubspot_crm_exports_todos_los_registros_2026_03_24_3" displayName="hubspot_crm_exports_todos_los_registros_2026_03_24_3" ref="A1:S49" tableType="queryTable" totalsRowShown="0">
  <autoFilter ref="A1:S49" xr:uid="{0F7F7E16-46FA-4996-B34C-56989C4E52E0}"/>
  <tableColumns count="19">
    <tableColumn id="1" xr3:uid="{EFFDC78C-541D-445C-A935-0EFC1C630C82}" uniqueName="1" name="ID de registro" queryTableFieldId="1"/>
    <tableColumn id="2" xr3:uid="{391A270A-6210-4397-9560-897A3EEEFACF}" uniqueName="2" name="Nomenclatura" queryTableFieldId="2" dataDxfId="4"/>
    <tableColumn id="3" xr3:uid="{74C2BA8B-FBFE-4DA0-BBFD-023D3FF00B7C}" uniqueName="3" name="Piso" queryTableFieldId="3"/>
    <tableColumn id="4" xr3:uid="{BA060D38-8F22-4914-867E-A5C73EA8F3E4}" uniqueName="4" name="Vista" queryTableFieldId="4" dataDxfId="3"/>
    <tableColumn id="5" xr3:uid="{E969EA38-1932-4095-9087-394C228D6B27}" uniqueName="5" name="No. de Alcobas" queryTableFieldId="5"/>
    <tableColumn id="6" xr3:uid="{88961D87-670E-4B3F-9115-815887D662FD}" uniqueName="6" name="No. de Baños" queryTableFieldId="6"/>
    <tableColumn id="7" xr3:uid="{24441E69-C737-46C4-A8A7-BBB2B0A88841}" uniqueName="7" name="Área Apartamento (m²)" queryTableFieldId="7"/>
    <tableColumn id="8" xr3:uid="{91340117-E2FE-43F0-894D-6194F06B40A0}" uniqueName="8" name="Área Terraza (m²)" queryTableFieldId="8"/>
    <tableColumn id="9" xr3:uid="{AEB722CC-9DA1-4D4A-940C-0EDDF4D476BD}" uniqueName="9" name="Área Total (m²)" queryTableFieldId="9"/>
    <tableColumn id="10" xr3:uid="{E9EDBE1A-5E11-41A1-8778-567402BD49B0}" uniqueName="10" name="Valor por m² (Factibiliad)" queryTableFieldId="10"/>
    <tableColumn id="11" xr3:uid="{EDF233E6-8C1D-4570-96D9-BA048B384BC3}" uniqueName="11" name="Valor unidad (Factibilidad)" queryTableFieldId="11"/>
    <tableColumn id="12" xr3:uid="{3AD5AACE-0AF6-41A6-B88A-BDE8AFC694D8}" uniqueName="12" name="Valor m² (Comercial)" queryTableFieldId="12"/>
    <tableColumn id="13" xr3:uid="{66C060B9-466B-4705-BF59-AE69BA8A3E6B}" uniqueName="13" name="Valor unidad (Comercial)" queryTableFieldId="13"/>
    <tableColumn id="14" xr3:uid="{34171979-6092-4773-A48F-688761B50B71}" uniqueName="14" name="Bono" queryTableFieldId="14"/>
    <tableColumn id="15" xr3:uid="{5AD564D6-33A0-4355-9D66-712EE5FCB89F}" uniqueName="15" name="Valor m² (Con descuento)" queryTableFieldId="15"/>
    <tableColumn id="16" xr3:uid="{655D3394-D146-4B6A-BBF8-89B14390A0CC}" uniqueName="16" name="Valor unidad (Con descuento)" queryTableFieldId="16"/>
    <tableColumn id="19" xr3:uid="{F28D6EC2-027D-4313-BA2B-57C349DC3D2E}" uniqueName="19" name="Tipo de apartamento" queryTableFieldId="19" dataDxfId="2"/>
    <tableColumn id="20" xr3:uid="{9EE425D8-BAB8-4383-9160-5D43D1E4ECE5}" uniqueName="20" name="Tipo de unidad" queryTableFieldId="20" dataDxfId="1"/>
    <tableColumn id="21" xr3:uid="{988A3119-AEA7-435E-88D5-818A8F6DA637}" uniqueName="21" name="Etap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7CA0CF-3AE5-4F42-AF7F-FAD1439B7094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263E-8325-41E1-A6DB-785A251EC5BB}">
  <dimension ref="A1:S49"/>
  <sheetViews>
    <sheetView tabSelected="1" workbookViewId="0">
      <selection activeCell="K2" sqref="K2"/>
    </sheetView>
  </sheetViews>
  <sheetFormatPr baseColWidth="10" defaultRowHeight="14.4" x14ac:dyDescent="0.3"/>
  <cols>
    <col min="1" max="1" width="14.109375" bestFit="1" customWidth="1"/>
    <col min="2" max="2" width="15.109375" bestFit="1" customWidth="1"/>
    <col min="3" max="3" width="6.77734375" bestFit="1" customWidth="1"/>
    <col min="4" max="4" width="15.44140625" bestFit="1" customWidth="1"/>
    <col min="5" max="5" width="15.5546875" bestFit="1" customWidth="1"/>
    <col min="6" max="6" width="13.88671875" bestFit="1" customWidth="1"/>
    <col min="7" max="7" width="22.33203125" bestFit="1" customWidth="1"/>
    <col min="8" max="8" width="17.44140625" bestFit="1" customWidth="1"/>
    <col min="9" max="9" width="15.44140625" bestFit="1" customWidth="1"/>
    <col min="10" max="10" width="24.33203125" bestFit="1" customWidth="1"/>
    <col min="11" max="11" width="25.77734375" bestFit="1" customWidth="1"/>
    <col min="12" max="12" width="20.6640625" bestFit="1" customWidth="1"/>
    <col min="13" max="13" width="24.21875" bestFit="1" customWidth="1"/>
    <col min="14" max="14" width="9" bestFit="1" customWidth="1"/>
    <col min="15" max="15" width="24.33203125" bestFit="1" customWidth="1"/>
    <col min="16" max="16" width="27.77734375" bestFit="1" customWidth="1"/>
    <col min="17" max="17" width="20.44140625" bestFit="1" customWidth="1"/>
    <col min="18" max="18" width="15.33203125" bestFit="1" customWidth="1"/>
    <col min="19" max="19" width="8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50386213414</v>
      </c>
      <c r="B2" s="1" t="s">
        <v>23</v>
      </c>
      <c r="C2">
        <v>6</v>
      </c>
      <c r="D2" s="1" t="s">
        <v>22</v>
      </c>
      <c r="E2">
        <v>2</v>
      </c>
      <c r="G2" s="2">
        <v>50.93</v>
      </c>
      <c r="H2" s="2">
        <v>15.4</v>
      </c>
      <c r="I2" s="2">
        <f>G2+H2</f>
        <v>66.33</v>
      </c>
      <c r="J2">
        <v>8000000</v>
      </c>
      <c r="K2">
        <v>530640000</v>
      </c>
      <c r="L2">
        <v>8904000</v>
      </c>
      <c r="M2">
        <v>590602320</v>
      </c>
      <c r="N2">
        <v>13000000</v>
      </c>
      <c r="O2">
        <v>8708010</v>
      </c>
      <c r="P2">
        <v>577602320</v>
      </c>
      <c r="Q2" s="1" t="s">
        <v>19</v>
      </c>
      <c r="R2" s="1" t="s">
        <v>20</v>
      </c>
      <c r="S2" s="1" t="s">
        <v>21</v>
      </c>
    </row>
    <row r="3" spans="1:19" x14ac:dyDescent="0.3">
      <c r="A3">
        <v>50392272130</v>
      </c>
      <c r="B3" s="1" t="s">
        <v>24</v>
      </c>
      <c r="C3">
        <v>6</v>
      </c>
      <c r="D3" s="1" t="s">
        <v>22</v>
      </c>
      <c r="E3">
        <v>3</v>
      </c>
      <c r="G3" s="2">
        <v>69.44</v>
      </c>
      <c r="H3" s="2">
        <v>20.58</v>
      </c>
      <c r="I3" s="2">
        <f>G3+H3</f>
        <v>90.02</v>
      </c>
      <c r="J3">
        <v>8000000</v>
      </c>
      <c r="K3">
        <v>720160000</v>
      </c>
      <c r="L3">
        <v>8904000</v>
      </c>
      <c r="M3">
        <v>801538080</v>
      </c>
      <c r="N3">
        <v>18000000</v>
      </c>
      <c r="O3">
        <v>8704044</v>
      </c>
      <c r="P3">
        <v>783538080</v>
      </c>
      <c r="Q3" s="1" t="s">
        <v>19</v>
      </c>
      <c r="R3" s="1" t="s">
        <v>20</v>
      </c>
      <c r="S3" s="1" t="s">
        <v>21</v>
      </c>
    </row>
    <row r="4" spans="1:19" x14ac:dyDescent="0.3">
      <c r="A4">
        <v>50390561926</v>
      </c>
      <c r="B4" s="1" t="s">
        <v>25</v>
      </c>
      <c r="C4">
        <v>6</v>
      </c>
      <c r="D4" s="1" t="s">
        <v>22</v>
      </c>
      <c r="E4">
        <v>3</v>
      </c>
      <c r="G4" s="2">
        <v>69.44</v>
      </c>
      <c r="H4" s="2">
        <v>20.58</v>
      </c>
      <c r="I4" s="2">
        <f>G4+H4</f>
        <v>90.02</v>
      </c>
      <c r="J4">
        <v>8000000</v>
      </c>
      <c r="K4">
        <v>720160000</v>
      </c>
      <c r="L4">
        <v>8734400</v>
      </c>
      <c r="M4">
        <v>786270688</v>
      </c>
      <c r="N4">
        <v>11000000</v>
      </c>
      <c r="O4">
        <v>8612205</v>
      </c>
      <c r="P4">
        <v>775270688</v>
      </c>
      <c r="Q4" s="1" t="s">
        <v>19</v>
      </c>
      <c r="R4" s="1" t="s">
        <v>20</v>
      </c>
      <c r="S4" s="1" t="s">
        <v>21</v>
      </c>
    </row>
    <row r="5" spans="1:19" x14ac:dyDescent="0.3">
      <c r="A5">
        <v>50384814968</v>
      </c>
      <c r="B5" s="1" t="s">
        <v>26</v>
      </c>
      <c r="C5">
        <v>6</v>
      </c>
      <c r="D5" s="1" t="s">
        <v>22</v>
      </c>
      <c r="E5">
        <v>2</v>
      </c>
      <c r="G5" s="2">
        <v>50.93</v>
      </c>
      <c r="H5" s="2">
        <v>15.4</v>
      </c>
      <c r="I5" s="2">
        <f>G5+H5</f>
        <v>66.33</v>
      </c>
      <c r="J5">
        <v>8000000</v>
      </c>
      <c r="K5">
        <v>530640000</v>
      </c>
      <c r="L5">
        <v>8734400</v>
      </c>
      <c r="M5">
        <v>579352752</v>
      </c>
      <c r="N5">
        <v>80000000</v>
      </c>
      <c r="O5">
        <v>8613791</v>
      </c>
      <c r="P5">
        <v>571352752</v>
      </c>
      <c r="Q5" s="1" t="s">
        <v>19</v>
      </c>
      <c r="R5" s="1" t="s">
        <v>20</v>
      </c>
      <c r="S5" s="1" t="s">
        <v>21</v>
      </c>
    </row>
    <row r="6" spans="1:19" x14ac:dyDescent="0.3">
      <c r="A6">
        <v>50374620200</v>
      </c>
      <c r="B6" s="1" t="s">
        <v>27</v>
      </c>
      <c r="C6">
        <v>6</v>
      </c>
      <c r="D6" s="1" t="s">
        <v>22</v>
      </c>
      <c r="E6">
        <v>2</v>
      </c>
      <c r="G6" s="2">
        <v>50.93</v>
      </c>
      <c r="H6" s="2">
        <v>15.4</v>
      </c>
      <c r="I6" s="2">
        <f>G6+H6</f>
        <v>66.33</v>
      </c>
      <c r="J6">
        <v>8000000</v>
      </c>
      <c r="K6">
        <v>530640000</v>
      </c>
      <c r="L6">
        <v>8480000</v>
      </c>
      <c r="M6">
        <v>562478400</v>
      </c>
      <c r="N6">
        <v>80000000</v>
      </c>
      <c r="O6">
        <v>8359391</v>
      </c>
      <c r="P6">
        <v>554478400</v>
      </c>
      <c r="Q6" s="1" t="s">
        <v>19</v>
      </c>
      <c r="R6" s="1" t="s">
        <v>20</v>
      </c>
      <c r="S6" s="1" t="s">
        <v>21</v>
      </c>
    </row>
    <row r="7" spans="1:19" x14ac:dyDescent="0.3">
      <c r="A7">
        <v>50375738422</v>
      </c>
      <c r="B7" s="1" t="s">
        <v>28</v>
      </c>
      <c r="C7">
        <v>6</v>
      </c>
      <c r="D7" s="1" t="s">
        <v>22</v>
      </c>
      <c r="E7">
        <v>3</v>
      </c>
      <c r="G7" s="2">
        <v>69.44</v>
      </c>
      <c r="H7" s="2">
        <v>20.58</v>
      </c>
      <c r="I7" s="2">
        <f>G7+H7</f>
        <v>90.02</v>
      </c>
      <c r="J7">
        <v>8000000</v>
      </c>
      <c r="K7">
        <v>720160000</v>
      </c>
      <c r="L7">
        <v>8480000</v>
      </c>
      <c r="M7">
        <v>763369600</v>
      </c>
      <c r="N7">
        <v>11000000</v>
      </c>
      <c r="O7">
        <v>8357805</v>
      </c>
      <c r="P7">
        <v>752369600</v>
      </c>
      <c r="Q7" s="1" t="s">
        <v>19</v>
      </c>
      <c r="R7" s="1" t="s">
        <v>20</v>
      </c>
      <c r="S7" s="1" t="s">
        <v>21</v>
      </c>
    </row>
    <row r="8" spans="1:19" x14ac:dyDescent="0.3">
      <c r="A8">
        <v>50375926376</v>
      </c>
      <c r="B8" s="1" t="s">
        <v>29</v>
      </c>
      <c r="C8">
        <v>6</v>
      </c>
      <c r="D8" s="1" t="s">
        <v>22</v>
      </c>
      <c r="E8">
        <v>3</v>
      </c>
      <c r="G8" s="2">
        <v>69.44</v>
      </c>
      <c r="H8" s="2">
        <v>20.58</v>
      </c>
      <c r="I8" s="2">
        <f>G8+H8</f>
        <v>90.02</v>
      </c>
      <c r="J8">
        <v>8000000</v>
      </c>
      <c r="K8">
        <v>720160000</v>
      </c>
      <c r="L8">
        <v>8904000</v>
      </c>
      <c r="M8">
        <v>801538080</v>
      </c>
      <c r="N8">
        <v>18000000</v>
      </c>
      <c r="O8">
        <v>8704044</v>
      </c>
      <c r="P8">
        <v>783538080</v>
      </c>
      <c r="Q8" s="1" t="s">
        <v>19</v>
      </c>
      <c r="R8" s="1" t="s">
        <v>20</v>
      </c>
      <c r="S8" s="1" t="s">
        <v>21</v>
      </c>
    </row>
    <row r="9" spans="1:19" x14ac:dyDescent="0.3">
      <c r="A9">
        <v>50375095347</v>
      </c>
      <c r="B9" s="1" t="s">
        <v>30</v>
      </c>
      <c r="C9">
        <v>6</v>
      </c>
      <c r="D9" s="1" t="s">
        <v>22</v>
      </c>
      <c r="E9">
        <v>2</v>
      </c>
      <c r="G9" s="2">
        <v>50.93</v>
      </c>
      <c r="H9" s="2">
        <v>15.4</v>
      </c>
      <c r="I9" s="2">
        <f>G9+H9</f>
        <v>66.33</v>
      </c>
      <c r="J9">
        <v>8000000</v>
      </c>
      <c r="K9">
        <v>530640000</v>
      </c>
      <c r="L9">
        <v>8904000</v>
      </c>
      <c r="M9">
        <v>590602320</v>
      </c>
      <c r="N9">
        <v>13000000</v>
      </c>
      <c r="O9">
        <v>8708010</v>
      </c>
      <c r="P9">
        <v>577602320</v>
      </c>
      <c r="Q9" s="1" t="s">
        <v>19</v>
      </c>
      <c r="R9" s="1" t="s">
        <v>20</v>
      </c>
      <c r="S9" s="1" t="s">
        <v>21</v>
      </c>
    </row>
    <row r="10" spans="1:19" x14ac:dyDescent="0.3">
      <c r="A10">
        <v>50384976541</v>
      </c>
      <c r="B10" s="1" t="s">
        <v>31</v>
      </c>
      <c r="C10">
        <v>5</v>
      </c>
      <c r="D10" s="1" t="s">
        <v>22</v>
      </c>
      <c r="E10">
        <v>2</v>
      </c>
      <c r="G10" s="2">
        <v>55.66</v>
      </c>
      <c r="H10" s="2">
        <v>9.5500000000000007</v>
      </c>
      <c r="I10" s="2">
        <f>G10+H10</f>
        <v>65.209999999999994</v>
      </c>
      <c r="J10">
        <v>7850000</v>
      </c>
      <c r="K10">
        <v>511898500</v>
      </c>
      <c r="L10">
        <v>8737050</v>
      </c>
      <c r="M10">
        <v>569743031</v>
      </c>
      <c r="N10">
        <v>13000000</v>
      </c>
      <c r="O10">
        <v>8603067</v>
      </c>
      <c r="P10">
        <v>561005981</v>
      </c>
      <c r="Q10" s="1" t="s">
        <v>19</v>
      </c>
      <c r="R10" s="1" t="s">
        <v>20</v>
      </c>
      <c r="S10" s="1" t="s">
        <v>21</v>
      </c>
    </row>
    <row r="11" spans="1:19" x14ac:dyDescent="0.3">
      <c r="A11">
        <v>50376776456</v>
      </c>
      <c r="B11" s="1" t="s">
        <v>32</v>
      </c>
      <c r="C11">
        <v>5</v>
      </c>
      <c r="D11" s="1" t="s">
        <v>22</v>
      </c>
      <c r="E11">
        <v>3</v>
      </c>
      <c r="G11" s="2">
        <v>76.430000000000007</v>
      </c>
      <c r="H11" s="2">
        <v>16.899999999999999</v>
      </c>
      <c r="I11" s="2">
        <f>G11+H11</f>
        <v>93.330000000000013</v>
      </c>
      <c r="J11">
        <v>7850000</v>
      </c>
      <c r="K11">
        <v>732640500</v>
      </c>
      <c r="L11">
        <v>8737050</v>
      </c>
      <c r="M11">
        <v>815428877</v>
      </c>
      <c r="N11">
        <v>20000000</v>
      </c>
      <c r="O11">
        <v>8522757</v>
      </c>
      <c r="P11">
        <v>795428877</v>
      </c>
      <c r="Q11" s="1" t="s">
        <v>19</v>
      </c>
      <c r="R11" s="1" t="s">
        <v>20</v>
      </c>
      <c r="S11" s="1" t="s">
        <v>21</v>
      </c>
    </row>
    <row r="12" spans="1:19" x14ac:dyDescent="0.3">
      <c r="A12">
        <v>50373902365</v>
      </c>
      <c r="B12" s="1" t="s">
        <v>33</v>
      </c>
      <c r="C12">
        <v>5</v>
      </c>
      <c r="D12" s="1" t="s">
        <v>22</v>
      </c>
      <c r="E12">
        <v>3</v>
      </c>
      <c r="G12" s="2">
        <v>76.430000000000007</v>
      </c>
      <c r="H12" s="2">
        <v>16.899999999999999</v>
      </c>
      <c r="I12" s="2">
        <f>G12+H12</f>
        <v>93.330000000000013</v>
      </c>
      <c r="J12">
        <v>7850000</v>
      </c>
      <c r="K12">
        <v>732640500</v>
      </c>
      <c r="L12">
        <v>8570630</v>
      </c>
      <c r="M12">
        <v>799896898</v>
      </c>
      <c r="N12">
        <v>12000000</v>
      </c>
      <c r="O12">
        <v>8442054</v>
      </c>
      <c r="P12">
        <v>787896898</v>
      </c>
      <c r="Q12" s="1" t="s">
        <v>19</v>
      </c>
      <c r="R12" s="1" t="s">
        <v>20</v>
      </c>
      <c r="S12" s="1" t="s">
        <v>21</v>
      </c>
    </row>
    <row r="13" spans="1:19" x14ac:dyDescent="0.3">
      <c r="A13">
        <v>50385905928</v>
      </c>
      <c r="B13" s="1" t="s">
        <v>34</v>
      </c>
      <c r="C13">
        <v>5</v>
      </c>
      <c r="D13" s="1" t="s">
        <v>22</v>
      </c>
      <c r="E13">
        <v>2</v>
      </c>
      <c r="G13" s="2">
        <v>55.66</v>
      </c>
      <c r="H13" s="2">
        <v>9.5500000000000007</v>
      </c>
      <c r="I13" s="2">
        <f>G13+H13</f>
        <v>65.209999999999994</v>
      </c>
      <c r="J13">
        <v>7850000</v>
      </c>
      <c r="K13">
        <v>511898500</v>
      </c>
      <c r="L13">
        <v>8570630</v>
      </c>
      <c r="M13">
        <v>558890782</v>
      </c>
      <c r="N13">
        <v>80000000</v>
      </c>
      <c r="O13">
        <v>8447949</v>
      </c>
      <c r="P13">
        <v>550890782</v>
      </c>
      <c r="Q13" s="1" t="s">
        <v>19</v>
      </c>
      <c r="R13" s="1" t="s">
        <v>20</v>
      </c>
      <c r="S13" s="1" t="s">
        <v>21</v>
      </c>
    </row>
    <row r="14" spans="1:19" x14ac:dyDescent="0.3">
      <c r="A14">
        <v>50374467089</v>
      </c>
      <c r="B14" s="1" t="s">
        <v>35</v>
      </c>
      <c r="C14">
        <v>5</v>
      </c>
      <c r="D14" s="1" t="s">
        <v>22</v>
      </c>
      <c r="E14">
        <v>2</v>
      </c>
      <c r="G14" s="2">
        <v>55.66</v>
      </c>
      <c r="H14" s="2">
        <v>9.5500000000000007</v>
      </c>
      <c r="I14" s="2">
        <f>G14+H14</f>
        <v>65.209999999999994</v>
      </c>
      <c r="J14">
        <v>7850000</v>
      </c>
      <c r="K14">
        <v>511898500</v>
      </c>
      <c r="L14">
        <v>8321000</v>
      </c>
      <c r="M14">
        <v>542612410</v>
      </c>
      <c r="N14">
        <v>80000000</v>
      </c>
      <c r="O14">
        <v>8198319</v>
      </c>
      <c r="P14">
        <v>534612410</v>
      </c>
      <c r="Q14" s="1" t="s">
        <v>19</v>
      </c>
      <c r="R14" s="1" t="s">
        <v>20</v>
      </c>
      <c r="S14" s="1" t="s">
        <v>21</v>
      </c>
    </row>
    <row r="15" spans="1:19" x14ac:dyDescent="0.3">
      <c r="A15">
        <v>50384066179</v>
      </c>
      <c r="B15" s="1" t="s">
        <v>36</v>
      </c>
      <c r="C15">
        <v>5</v>
      </c>
      <c r="D15" s="1" t="s">
        <v>22</v>
      </c>
      <c r="E15">
        <v>3</v>
      </c>
      <c r="G15" s="2">
        <v>76.430000000000007</v>
      </c>
      <c r="H15" s="2">
        <v>16.899999999999999</v>
      </c>
      <c r="I15" s="2">
        <f>G15+H15</f>
        <v>93.330000000000013</v>
      </c>
      <c r="J15">
        <v>7850000</v>
      </c>
      <c r="K15">
        <v>732640500</v>
      </c>
      <c r="L15">
        <v>8321000</v>
      </c>
      <c r="M15">
        <v>776598930</v>
      </c>
      <c r="N15">
        <v>12000000</v>
      </c>
      <c r="O15">
        <v>8192424</v>
      </c>
      <c r="P15">
        <v>764598930</v>
      </c>
      <c r="Q15" s="1" t="s">
        <v>19</v>
      </c>
      <c r="R15" s="1" t="s">
        <v>20</v>
      </c>
      <c r="S15" s="1" t="s">
        <v>21</v>
      </c>
    </row>
    <row r="16" spans="1:19" x14ac:dyDescent="0.3">
      <c r="A16">
        <v>50382811559</v>
      </c>
      <c r="B16" s="1" t="s">
        <v>37</v>
      </c>
      <c r="C16">
        <v>5</v>
      </c>
      <c r="D16" s="1" t="s">
        <v>22</v>
      </c>
      <c r="E16">
        <v>3</v>
      </c>
      <c r="G16" s="2">
        <v>76.430000000000007</v>
      </c>
      <c r="H16" s="2">
        <v>16.899999999999999</v>
      </c>
      <c r="I16" s="2">
        <f>G16+H16</f>
        <v>93.330000000000013</v>
      </c>
      <c r="J16">
        <v>7850000</v>
      </c>
      <c r="K16">
        <v>732640500</v>
      </c>
      <c r="L16">
        <v>8737050</v>
      </c>
      <c r="M16">
        <v>815428877</v>
      </c>
      <c r="N16">
        <v>20000000</v>
      </c>
      <c r="O16">
        <v>8522757</v>
      </c>
      <c r="P16">
        <v>795428877</v>
      </c>
      <c r="Q16" s="1" t="s">
        <v>19</v>
      </c>
      <c r="R16" s="1" t="s">
        <v>20</v>
      </c>
      <c r="S16" s="1" t="s">
        <v>21</v>
      </c>
    </row>
    <row r="17" spans="1:19" x14ac:dyDescent="0.3">
      <c r="A17">
        <v>50374781847</v>
      </c>
      <c r="B17" s="1" t="s">
        <v>38</v>
      </c>
      <c r="C17">
        <v>5</v>
      </c>
      <c r="D17" s="1" t="s">
        <v>22</v>
      </c>
      <c r="E17">
        <v>2</v>
      </c>
      <c r="G17" s="2">
        <v>55.66</v>
      </c>
      <c r="H17" s="2">
        <v>9.5500000000000007</v>
      </c>
      <c r="I17" s="2">
        <f>G17+H17</f>
        <v>65.209999999999994</v>
      </c>
      <c r="J17">
        <v>7850000</v>
      </c>
      <c r="K17">
        <v>511898500</v>
      </c>
      <c r="L17">
        <v>8737050</v>
      </c>
      <c r="M17">
        <v>569743031</v>
      </c>
      <c r="N17">
        <v>13000000</v>
      </c>
      <c r="O17">
        <v>8603067</v>
      </c>
      <c r="P17">
        <v>561005981</v>
      </c>
      <c r="Q17" s="1" t="s">
        <v>19</v>
      </c>
      <c r="R17" s="1" t="s">
        <v>20</v>
      </c>
      <c r="S17" s="1" t="s">
        <v>21</v>
      </c>
    </row>
    <row r="18" spans="1:19" x14ac:dyDescent="0.3">
      <c r="A18">
        <v>50394578440</v>
      </c>
      <c r="B18" s="1" t="s">
        <v>39</v>
      </c>
      <c r="C18">
        <v>4</v>
      </c>
      <c r="D18" s="1" t="s">
        <v>22</v>
      </c>
      <c r="E18">
        <v>2</v>
      </c>
      <c r="G18" s="2">
        <v>55.66</v>
      </c>
      <c r="H18" s="2">
        <v>9.5500000000000007</v>
      </c>
      <c r="I18" s="2">
        <f>G18+H18</f>
        <v>65.209999999999994</v>
      </c>
      <c r="J18">
        <v>7700000</v>
      </c>
      <c r="K18">
        <v>502117000</v>
      </c>
      <c r="L18">
        <v>8570100</v>
      </c>
      <c r="M18">
        <v>558856221</v>
      </c>
      <c r="N18">
        <v>13000000</v>
      </c>
      <c r="O18">
        <v>8438677</v>
      </c>
      <c r="P18">
        <v>550286121</v>
      </c>
      <c r="Q18" s="1" t="s">
        <v>19</v>
      </c>
      <c r="R18" s="1" t="s">
        <v>20</v>
      </c>
      <c r="S18" s="1" t="s">
        <v>21</v>
      </c>
    </row>
    <row r="19" spans="1:19" x14ac:dyDescent="0.3">
      <c r="A19">
        <v>50370250255</v>
      </c>
      <c r="B19" s="1" t="s">
        <v>40</v>
      </c>
      <c r="C19">
        <v>4</v>
      </c>
      <c r="D19" s="1" t="s">
        <v>22</v>
      </c>
      <c r="E19">
        <v>3</v>
      </c>
      <c r="G19" s="2">
        <v>76.430000000000007</v>
      </c>
      <c r="H19" s="2">
        <v>16.899999999999999</v>
      </c>
      <c r="I19" s="2">
        <f>G19+H19</f>
        <v>93.330000000000013</v>
      </c>
      <c r="J19">
        <v>7700000</v>
      </c>
      <c r="K19">
        <v>718641000</v>
      </c>
      <c r="L19">
        <v>8570100</v>
      </c>
      <c r="M19">
        <v>799847433</v>
      </c>
      <c r="N19">
        <v>20000000</v>
      </c>
      <c r="O19">
        <v>8355807</v>
      </c>
      <c r="P19">
        <v>779847433</v>
      </c>
      <c r="Q19" s="1" t="s">
        <v>19</v>
      </c>
      <c r="R19" s="1" t="s">
        <v>20</v>
      </c>
      <c r="S19" s="1" t="s">
        <v>21</v>
      </c>
    </row>
    <row r="20" spans="1:19" x14ac:dyDescent="0.3">
      <c r="A20">
        <v>50380655698</v>
      </c>
      <c r="B20" s="1" t="s">
        <v>41</v>
      </c>
      <c r="C20">
        <v>4</v>
      </c>
      <c r="D20" s="1" t="s">
        <v>22</v>
      </c>
      <c r="E20">
        <v>3</v>
      </c>
      <c r="G20" s="2">
        <v>76.430000000000007</v>
      </c>
      <c r="H20" s="2">
        <v>16.899999999999999</v>
      </c>
      <c r="I20" s="2">
        <f>G20+H20</f>
        <v>93.330000000000013</v>
      </c>
      <c r="J20">
        <v>7700000</v>
      </c>
      <c r="K20">
        <v>718641000</v>
      </c>
      <c r="L20">
        <v>8406860</v>
      </c>
      <c r="M20">
        <v>784612244</v>
      </c>
      <c r="N20">
        <v>12000000</v>
      </c>
      <c r="O20">
        <v>8278284</v>
      </c>
      <c r="P20">
        <v>772612244</v>
      </c>
      <c r="Q20" s="1" t="s">
        <v>19</v>
      </c>
      <c r="R20" s="1" t="s">
        <v>20</v>
      </c>
      <c r="S20" s="1" t="s">
        <v>21</v>
      </c>
    </row>
    <row r="21" spans="1:19" x14ac:dyDescent="0.3">
      <c r="A21">
        <v>50383445261</v>
      </c>
      <c r="B21" s="1" t="s">
        <v>42</v>
      </c>
      <c r="C21">
        <v>4</v>
      </c>
      <c r="D21" s="1" t="s">
        <v>22</v>
      </c>
      <c r="E21">
        <v>2</v>
      </c>
      <c r="G21" s="2">
        <v>55.66</v>
      </c>
      <c r="H21" s="2">
        <v>9.5500000000000007</v>
      </c>
      <c r="I21" s="2">
        <f>G21+H21</f>
        <v>65.209999999999994</v>
      </c>
      <c r="J21">
        <v>7700000</v>
      </c>
      <c r="K21">
        <v>502117000</v>
      </c>
      <c r="L21">
        <v>8406860</v>
      </c>
      <c r="M21">
        <v>548211341</v>
      </c>
      <c r="N21">
        <v>80000000</v>
      </c>
      <c r="O21">
        <v>8284179</v>
      </c>
      <c r="P21">
        <v>540211341</v>
      </c>
      <c r="Q21" s="1" t="s">
        <v>19</v>
      </c>
      <c r="R21" s="1" t="s">
        <v>20</v>
      </c>
      <c r="S21" s="1" t="s">
        <v>21</v>
      </c>
    </row>
    <row r="22" spans="1:19" x14ac:dyDescent="0.3">
      <c r="A22">
        <v>50394889874</v>
      </c>
      <c r="B22" s="1" t="s">
        <v>43</v>
      </c>
      <c r="C22">
        <v>4</v>
      </c>
      <c r="D22" s="1" t="s">
        <v>22</v>
      </c>
      <c r="E22">
        <v>2</v>
      </c>
      <c r="G22" s="2">
        <v>55.66</v>
      </c>
      <c r="H22" s="2">
        <v>9.5500000000000007</v>
      </c>
      <c r="I22" s="2">
        <f>G22+H22</f>
        <v>65.209999999999994</v>
      </c>
      <c r="J22">
        <v>7700000</v>
      </c>
      <c r="K22">
        <v>502117000</v>
      </c>
      <c r="L22">
        <v>8162000</v>
      </c>
      <c r="M22">
        <v>532244020</v>
      </c>
      <c r="N22">
        <v>80000000</v>
      </c>
      <c r="O22">
        <v>8039319</v>
      </c>
      <c r="P22">
        <v>524244020</v>
      </c>
      <c r="Q22" s="1" t="s">
        <v>19</v>
      </c>
      <c r="R22" s="1" t="s">
        <v>20</v>
      </c>
      <c r="S22" s="1" t="s">
        <v>21</v>
      </c>
    </row>
    <row r="23" spans="1:19" x14ac:dyDescent="0.3">
      <c r="A23">
        <v>50384528719</v>
      </c>
      <c r="B23" s="1" t="s">
        <v>44</v>
      </c>
      <c r="C23">
        <v>4</v>
      </c>
      <c r="D23" s="1" t="s">
        <v>22</v>
      </c>
      <c r="E23">
        <v>3</v>
      </c>
      <c r="G23" s="2">
        <v>76.430000000000007</v>
      </c>
      <c r="H23" s="2">
        <v>16.899999999999999</v>
      </c>
      <c r="I23" s="2">
        <f>G23+H23</f>
        <v>93.330000000000013</v>
      </c>
      <c r="J23">
        <v>7700000</v>
      </c>
      <c r="K23">
        <v>718641000</v>
      </c>
      <c r="L23">
        <v>8162000</v>
      </c>
      <c r="M23">
        <v>761759460</v>
      </c>
      <c r="N23">
        <v>12000000</v>
      </c>
      <c r="O23">
        <v>8033424</v>
      </c>
      <c r="P23">
        <v>749759460</v>
      </c>
      <c r="Q23" s="1" t="s">
        <v>19</v>
      </c>
      <c r="R23" s="1" t="s">
        <v>20</v>
      </c>
      <c r="S23" s="1" t="s">
        <v>21</v>
      </c>
    </row>
    <row r="24" spans="1:19" x14ac:dyDescent="0.3">
      <c r="A24">
        <v>50386663076</v>
      </c>
      <c r="B24" s="1" t="s">
        <v>45</v>
      </c>
      <c r="C24">
        <v>4</v>
      </c>
      <c r="D24" s="1" t="s">
        <v>22</v>
      </c>
      <c r="E24">
        <v>3</v>
      </c>
      <c r="G24" s="2">
        <v>76.430000000000007</v>
      </c>
      <c r="H24" s="2">
        <v>16.899999999999999</v>
      </c>
      <c r="I24" s="2">
        <f>G24+H24</f>
        <v>93.330000000000013</v>
      </c>
      <c r="J24">
        <v>7700000</v>
      </c>
      <c r="K24">
        <v>718641000</v>
      </c>
      <c r="L24">
        <v>8570100</v>
      </c>
      <c r="M24">
        <v>799847433</v>
      </c>
      <c r="N24">
        <v>20000000</v>
      </c>
      <c r="O24">
        <v>8355807</v>
      </c>
      <c r="P24">
        <v>779847433</v>
      </c>
      <c r="Q24" s="1" t="s">
        <v>19</v>
      </c>
      <c r="R24" s="1" t="s">
        <v>20</v>
      </c>
      <c r="S24" s="1" t="s">
        <v>21</v>
      </c>
    </row>
    <row r="25" spans="1:19" x14ac:dyDescent="0.3">
      <c r="A25">
        <v>50371738227</v>
      </c>
      <c r="B25" s="1" t="s">
        <v>46</v>
      </c>
      <c r="C25">
        <v>4</v>
      </c>
      <c r="D25" s="1" t="s">
        <v>22</v>
      </c>
      <c r="E25">
        <v>2</v>
      </c>
      <c r="G25" s="2">
        <v>55.66</v>
      </c>
      <c r="H25" s="2">
        <v>9.5500000000000007</v>
      </c>
      <c r="I25" s="2">
        <f>G25+H25</f>
        <v>65.209999999999994</v>
      </c>
      <c r="J25">
        <v>7700000</v>
      </c>
      <c r="K25">
        <v>502117000</v>
      </c>
      <c r="L25">
        <v>8570100</v>
      </c>
      <c r="M25">
        <v>558856221</v>
      </c>
      <c r="N25">
        <v>13000000</v>
      </c>
      <c r="O25">
        <v>8438677</v>
      </c>
      <c r="P25">
        <v>550286121</v>
      </c>
      <c r="Q25" s="1" t="s">
        <v>19</v>
      </c>
      <c r="R25" s="1" t="s">
        <v>20</v>
      </c>
      <c r="S25" s="1" t="s">
        <v>21</v>
      </c>
    </row>
    <row r="26" spans="1:19" x14ac:dyDescent="0.3">
      <c r="A26">
        <v>50392101671</v>
      </c>
      <c r="B26" s="1" t="s">
        <v>47</v>
      </c>
      <c r="C26">
        <v>3</v>
      </c>
      <c r="D26" s="1" t="s">
        <v>22</v>
      </c>
      <c r="E26">
        <v>2</v>
      </c>
      <c r="G26" s="2">
        <v>55.66</v>
      </c>
      <c r="H26" s="2">
        <v>9.5500000000000007</v>
      </c>
      <c r="I26" s="2">
        <f>G26+H26</f>
        <v>65.209999999999994</v>
      </c>
      <c r="J26">
        <v>7550000</v>
      </c>
      <c r="K26">
        <v>492335500</v>
      </c>
      <c r="L26">
        <v>8403150</v>
      </c>
      <c r="M26">
        <v>547969412</v>
      </c>
      <c r="N26">
        <v>13000000</v>
      </c>
      <c r="O26">
        <v>8274287</v>
      </c>
      <c r="P26">
        <v>539566262</v>
      </c>
      <c r="Q26" s="1" t="s">
        <v>19</v>
      </c>
      <c r="R26" s="1" t="s">
        <v>20</v>
      </c>
      <c r="S26" s="1" t="s">
        <v>21</v>
      </c>
    </row>
    <row r="27" spans="1:19" x14ac:dyDescent="0.3">
      <c r="A27">
        <v>50384066178</v>
      </c>
      <c r="B27" s="1" t="s">
        <v>48</v>
      </c>
      <c r="C27">
        <v>3</v>
      </c>
      <c r="D27" s="1" t="s">
        <v>22</v>
      </c>
      <c r="E27">
        <v>3</v>
      </c>
      <c r="G27" s="2">
        <v>76.430000000000007</v>
      </c>
      <c r="H27" s="2">
        <v>16.899999999999999</v>
      </c>
      <c r="I27" s="2">
        <f>G27+H27</f>
        <v>93.330000000000013</v>
      </c>
      <c r="J27">
        <v>7550000</v>
      </c>
      <c r="K27">
        <v>704641500</v>
      </c>
      <c r="L27">
        <v>8403150</v>
      </c>
      <c r="M27">
        <v>784265990</v>
      </c>
      <c r="N27">
        <v>20000000</v>
      </c>
      <c r="O27">
        <v>8188857</v>
      </c>
      <c r="P27">
        <v>764265990</v>
      </c>
      <c r="Q27" s="1" t="s">
        <v>19</v>
      </c>
      <c r="R27" s="1" t="s">
        <v>20</v>
      </c>
      <c r="S27" s="1" t="s">
        <v>21</v>
      </c>
    </row>
    <row r="28" spans="1:19" x14ac:dyDescent="0.3">
      <c r="A28">
        <v>50382983297</v>
      </c>
      <c r="B28" s="1" t="s">
        <v>49</v>
      </c>
      <c r="C28">
        <v>3</v>
      </c>
      <c r="D28" s="1" t="s">
        <v>22</v>
      </c>
      <c r="E28">
        <v>3</v>
      </c>
      <c r="G28" s="2">
        <v>76.430000000000007</v>
      </c>
      <c r="H28" s="2">
        <v>16.899999999999999</v>
      </c>
      <c r="I28" s="2">
        <f>G28+H28</f>
        <v>93.330000000000013</v>
      </c>
      <c r="J28">
        <v>7550000</v>
      </c>
      <c r="K28">
        <v>704641500</v>
      </c>
      <c r="L28">
        <v>8243090</v>
      </c>
      <c r="M28">
        <v>769327590</v>
      </c>
      <c r="N28">
        <v>12000000</v>
      </c>
      <c r="O28">
        <v>8114514</v>
      </c>
      <c r="P28">
        <v>757327590</v>
      </c>
      <c r="Q28" s="1" t="s">
        <v>19</v>
      </c>
      <c r="R28" s="1" t="s">
        <v>20</v>
      </c>
      <c r="S28" s="1" t="s">
        <v>21</v>
      </c>
    </row>
    <row r="29" spans="1:19" x14ac:dyDescent="0.3">
      <c r="A29">
        <v>50379264393</v>
      </c>
      <c r="B29" s="1" t="s">
        <v>50</v>
      </c>
      <c r="C29">
        <v>3</v>
      </c>
      <c r="D29" s="1" t="s">
        <v>22</v>
      </c>
      <c r="E29">
        <v>2</v>
      </c>
      <c r="G29" s="2">
        <v>55.66</v>
      </c>
      <c r="H29" s="2">
        <v>9.5500000000000007</v>
      </c>
      <c r="I29" s="2">
        <f>G29+H29</f>
        <v>65.209999999999994</v>
      </c>
      <c r="J29">
        <v>7550000</v>
      </c>
      <c r="K29">
        <v>492335500</v>
      </c>
      <c r="L29">
        <v>8243090</v>
      </c>
      <c r="M29">
        <v>537531899</v>
      </c>
      <c r="N29">
        <v>80000000</v>
      </c>
      <c r="O29">
        <v>8120409</v>
      </c>
      <c r="P29">
        <v>529531899</v>
      </c>
      <c r="Q29" s="1" t="s">
        <v>19</v>
      </c>
      <c r="R29" s="1" t="s">
        <v>20</v>
      </c>
      <c r="S29" s="1" t="s">
        <v>21</v>
      </c>
    </row>
    <row r="30" spans="1:19" x14ac:dyDescent="0.3">
      <c r="A30">
        <v>50373608085</v>
      </c>
      <c r="B30" s="1" t="s">
        <v>51</v>
      </c>
      <c r="C30">
        <v>3</v>
      </c>
      <c r="D30" s="1" t="s">
        <v>22</v>
      </c>
      <c r="E30">
        <v>2</v>
      </c>
      <c r="G30" s="2">
        <v>55.66</v>
      </c>
      <c r="H30" s="2">
        <v>9.5500000000000007</v>
      </c>
      <c r="I30" s="2">
        <f>G30+H30</f>
        <v>65.209999999999994</v>
      </c>
      <c r="J30">
        <v>7550000</v>
      </c>
      <c r="K30">
        <v>492335500</v>
      </c>
      <c r="L30">
        <v>8003000</v>
      </c>
      <c r="M30">
        <v>521875630</v>
      </c>
      <c r="N30">
        <v>80000000</v>
      </c>
      <c r="O30">
        <v>7880319</v>
      </c>
      <c r="P30">
        <v>513875630</v>
      </c>
      <c r="Q30" s="1" t="s">
        <v>19</v>
      </c>
      <c r="R30" s="1" t="s">
        <v>20</v>
      </c>
      <c r="S30" s="1" t="s">
        <v>21</v>
      </c>
    </row>
    <row r="31" spans="1:19" x14ac:dyDescent="0.3">
      <c r="A31">
        <v>50381435442</v>
      </c>
      <c r="B31" s="1" t="s">
        <v>52</v>
      </c>
      <c r="C31">
        <v>3</v>
      </c>
      <c r="D31" s="1" t="s">
        <v>22</v>
      </c>
      <c r="E31">
        <v>3</v>
      </c>
      <c r="G31" s="2">
        <v>76.430000000000007</v>
      </c>
      <c r="H31" s="2">
        <v>16.899999999999999</v>
      </c>
      <c r="I31" s="2">
        <f>G31+H31</f>
        <v>93.330000000000013</v>
      </c>
      <c r="J31">
        <v>7550000</v>
      </c>
      <c r="K31">
        <v>704641500</v>
      </c>
      <c r="L31">
        <v>8003000</v>
      </c>
      <c r="M31">
        <v>746919990</v>
      </c>
      <c r="N31">
        <v>12000000</v>
      </c>
      <c r="O31">
        <v>7874424</v>
      </c>
      <c r="P31">
        <v>734919990</v>
      </c>
      <c r="Q31" s="1" t="s">
        <v>19</v>
      </c>
      <c r="R31" s="1" t="s">
        <v>20</v>
      </c>
      <c r="S31" s="1" t="s">
        <v>21</v>
      </c>
    </row>
    <row r="32" spans="1:19" x14ac:dyDescent="0.3">
      <c r="A32">
        <v>50380185750</v>
      </c>
      <c r="B32" s="1" t="s">
        <v>53</v>
      </c>
      <c r="C32">
        <v>3</v>
      </c>
      <c r="D32" s="1" t="s">
        <v>22</v>
      </c>
      <c r="E32">
        <v>3</v>
      </c>
      <c r="G32" s="2">
        <v>76.430000000000007</v>
      </c>
      <c r="H32" s="2">
        <v>16.899999999999999</v>
      </c>
      <c r="I32" s="2">
        <f>G32+H32</f>
        <v>93.330000000000013</v>
      </c>
      <c r="J32">
        <v>7550000</v>
      </c>
      <c r="K32">
        <v>704641500</v>
      </c>
      <c r="L32">
        <v>8403150</v>
      </c>
      <c r="M32">
        <v>784265990</v>
      </c>
      <c r="N32">
        <v>20000000</v>
      </c>
      <c r="O32">
        <v>8188857</v>
      </c>
      <c r="P32">
        <v>764265990</v>
      </c>
      <c r="Q32" s="1" t="s">
        <v>19</v>
      </c>
      <c r="R32" s="1" t="s">
        <v>20</v>
      </c>
      <c r="S32" s="1" t="s">
        <v>21</v>
      </c>
    </row>
    <row r="33" spans="1:19" x14ac:dyDescent="0.3">
      <c r="A33">
        <v>50377394988</v>
      </c>
      <c r="B33" s="1" t="s">
        <v>54</v>
      </c>
      <c r="C33">
        <v>3</v>
      </c>
      <c r="D33" s="1" t="s">
        <v>22</v>
      </c>
      <c r="E33">
        <v>2</v>
      </c>
      <c r="G33" s="2">
        <v>55.66</v>
      </c>
      <c r="H33" s="2">
        <v>9.5500000000000007</v>
      </c>
      <c r="I33" s="2">
        <f>G33+H33</f>
        <v>65.209999999999994</v>
      </c>
      <c r="J33">
        <v>7550000</v>
      </c>
      <c r="K33">
        <v>492335500</v>
      </c>
      <c r="L33">
        <v>8403150</v>
      </c>
      <c r="M33">
        <v>547969412</v>
      </c>
      <c r="N33">
        <v>13000000</v>
      </c>
      <c r="O33">
        <v>8274287</v>
      </c>
      <c r="P33">
        <v>539566262</v>
      </c>
      <c r="Q33" s="1" t="s">
        <v>19</v>
      </c>
      <c r="R33" s="1" t="s">
        <v>20</v>
      </c>
      <c r="S33" s="1" t="s">
        <v>21</v>
      </c>
    </row>
    <row r="34" spans="1:19" x14ac:dyDescent="0.3">
      <c r="A34">
        <v>50392101672</v>
      </c>
      <c r="B34" s="1" t="s">
        <v>55</v>
      </c>
      <c r="C34">
        <v>2</v>
      </c>
      <c r="D34" s="1" t="s">
        <v>22</v>
      </c>
      <c r="E34">
        <v>2</v>
      </c>
      <c r="G34" s="2">
        <v>55.66</v>
      </c>
      <c r="H34" s="2">
        <v>9.5500000000000007</v>
      </c>
      <c r="I34" s="2">
        <f>G34+H34</f>
        <v>65.209999999999994</v>
      </c>
      <c r="J34">
        <v>7400000</v>
      </c>
      <c r="K34">
        <v>482554000</v>
      </c>
      <c r="L34">
        <v>8236200</v>
      </c>
      <c r="M34">
        <v>537082602</v>
      </c>
      <c r="N34">
        <v>13000000</v>
      </c>
      <c r="O34">
        <v>8109897</v>
      </c>
      <c r="P34">
        <v>528846402</v>
      </c>
      <c r="Q34" s="1" t="s">
        <v>19</v>
      </c>
      <c r="R34" s="1" t="s">
        <v>20</v>
      </c>
      <c r="S34" s="1" t="s">
        <v>21</v>
      </c>
    </row>
    <row r="35" spans="1:19" x14ac:dyDescent="0.3">
      <c r="A35">
        <v>50375926375</v>
      </c>
      <c r="B35" s="1" t="s">
        <v>56</v>
      </c>
      <c r="C35">
        <v>2</v>
      </c>
      <c r="D35" s="1" t="s">
        <v>22</v>
      </c>
      <c r="E35">
        <v>3</v>
      </c>
      <c r="G35" s="2">
        <v>76.430000000000007</v>
      </c>
      <c r="H35" s="2">
        <v>16.899999999999999</v>
      </c>
      <c r="I35" s="2">
        <f>G35+H35</f>
        <v>93.330000000000013</v>
      </c>
      <c r="J35">
        <v>7400000</v>
      </c>
      <c r="K35">
        <v>690642000</v>
      </c>
      <c r="L35">
        <v>8236200</v>
      </c>
      <c r="M35">
        <v>768684546</v>
      </c>
      <c r="N35">
        <v>20000000</v>
      </c>
      <c r="O35">
        <v>8021907</v>
      </c>
      <c r="P35">
        <v>748684546</v>
      </c>
      <c r="Q35" s="1" t="s">
        <v>19</v>
      </c>
      <c r="R35" s="1" t="s">
        <v>20</v>
      </c>
      <c r="S35" s="1" t="s">
        <v>21</v>
      </c>
    </row>
    <row r="36" spans="1:19" x14ac:dyDescent="0.3">
      <c r="A36">
        <v>50379410609</v>
      </c>
      <c r="B36" s="1" t="s">
        <v>57</v>
      </c>
      <c r="C36">
        <v>2</v>
      </c>
      <c r="D36" s="1" t="s">
        <v>22</v>
      </c>
      <c r="E36">
        <v>3</v>
      </c>
      <c r="G36" s="2">
        <v>76.430000000000007</v>
      </c>
      <c r="H36" s="2">
        <v>16.899999999999999</v>
      </c>
      <c r="I36" s="2">
        <f>G36+H36</f>
        <v>93.330000000000013</v>
      </c>
      <c r="J36">
        <v>7400000</v>
      </c>
      <c r="K36">
        <v>690642000</v>
      </c>
      <c r="L36">
        <v>8079320</v>
      </c>
      <c r="M36">
        <v>754042936</v>
      </c>
      <c r="N36">
        <v>12000000</v>
      </c>
      <c r="O36">
        <v>7950744</v>
      </c>
      <c r="P36">
        <v>742042936</v>
      </c>
      <c r="Q36" s="1" t="s">
        <v>19</v>
      </c>
      <c r="R36" s="1" t="s">
        <v>20</v>
      </c>
      <c r="S36" s="1" t="s">
        <v>21</v>
      </c>
    </row>
    <row r="37" spans="1:19" x14ac:dyDescent="0.3">
      <c r="A37">
        <v>50378486020</v>
      </c>
      <c r="B37" s="1" t="s">
        <v>58</v>
      </c>
      <c r="C37">
        <v>2</v>
      </c>
      <c r="D37" s="1" t="s">
        <v>22</v>
      </c>
      <c r="E37">
        <v>2</v>
      </c>
      <c r="G37" s="2">
        <v>55.66</v>
      </c>
      <c r="H37" s="2">
        <v>9.5500000000000007</v>
      </c>
      <c r="I37" s="2">
        <f>G37+H37</f>
        <v>65.209999999999994</v>
      </c>
      <c r="J37">
        <v>7400000</v>
      </c>
      <c r="K37">
        <v>482554000</v>
      </c>
      <c r="L37">
        <v>8079320</v>
      </c>
      <c r="M37">
        <v>526852457</v>
      </c>
      <c r="N37">
        <v>80000000</v>
      </c>
      <c r="O37">
        <v>7956639</v>
      </c>
      <c r="P37">
        <v>518852457</v>
      </c>
      <c r="Q37" s="1" t="s">
        <v>19</v>
      </c>
      <c r="R37" s="1" t="s">
        <v>20</v>
      </c>
      <c r="S37" s="1" t="s">
        <v>21</v>
      </c>
    </row>
    <row r="38" spans="1:19" x14ac:dyDescent="0.3">
      <c r="A38">
        <v>50382811560</v>
      </c>
      <c r="B38" s="1" t="s">
        <v>59</v>
      </c>
      <c r="C38">
        <v>2</v>
      </c>
      <c r="D38" s="1" t="s">
        <v>22</v>
      </c>
      <c r="E38">
        <v>2</v>
      </c>
      <c r="G38" s="2">
        <v>55.66</v>
      </c>
      <c r="H38" s="2">
        <v>9.5500000000000007</v>
      </c>
      <c r="I38" s="2">
        <f>G38+H38</f>
        <v>65.209999999999994</v>
      </c>
      <c r="J38">
        <v>7400000</v>
      </c>
      <c r="K38">
        <v>482554000</v>
      </c>
      <c r="L38">
        <v>7844000</v>
      </c>
      <c r="M38">
        <v>511507240</v>
      </c>
      <c r="N38">
        <v>80000000</v>
      </c>
      <c r="O38">
        <v>7721319</v>
      </c>
      <c r="P38">
        <v>503507240</v>
      </c>
      <c r="Q38" s="1" t="s">
        <v>19</v>
      </c>
      <c r="R38" s="1" t="s">
        <v>20</v>
      </c>
      <c r="S38" s="1" t="s">
        <v>21</v>
      </c>
    </row>
    <row r="39" spans="1:19" x14ac:dyDescent="0.3">
      <c r="A39">
        <v>50374620202</v>
      </c>
      <c r="B39" s="1" t="s">
        <v>60</v>
      </c>
      <c r="C39">
        <v>2</v>
      </c>
      <c r="D39" s="1" t="s">
        <v>22</v>
      </c>
      <c r="E39">
        <v>3</v>
      </c>
      <c r="G39" s="2">
        <v>76.430000000000007</v>
      </c>
      <c r="H39" s="2">
        <v>16.899999999999999</v>
      </c>
      <c r="I39" s="2">
        <f>G39+H39</f>
        <v>93.330000000000013</v>
      </c>
      <c r="J39">
        <v>7400000</v>
      </c>
      <c r="K39">
        <v>690642000</v>
      </c>
      <c r="L39">
        <v>7844000</v>
      </c>
      <c r="M39">
        <v>732080520</v>
      </c>
      <c r="N39">
        <v>12000000</v>
      </c>
      <c r="O39">
        <v>7715424</v>
      </c>
      <c r="P39">
        <v>720080520</v>
      </c>
      <c r="Q39" s="1" t="s">
        <v>19</v>
      </c>
      <c r="R39" s="1" t="s">
        <v>20</v>
      </c>
      <c r="S39" s="1" t="s">
        <v>21</v>
      </c>
    </row>
    <row r="40" spans="1:19" x14ac:dyDescent="0.3">
      <c r="A40">
        <v>50382983296</v>
      </c>
      <c r="B40" s="1" t="s">
        <v>61</v>
      </c>
      <c r="C40">
        <v>2</v>
      </c>
      <c r="D40" s="1" t="s">
        <v>22</v>
      </c>
      <c r="E40">
        <v>3</v>
      </c>
      <c r="G40" s="2">
        <v>76.430000000000007</v>
      </c>
      <c r="H40" s="2">
        <v>16.899999999999999</v>
      </c>
      <c r="I40" s="2">
        <f>G40+H40</f>
        <v>93.330000000000013</v>
      </c>
      <c r="J40">
        <v>7400000</v>
      </c>
      <c r="K40">
        <v>690642000</v>
      </c>
      <c r="L40">
        <v>8236200</v>
      </c>
      <c r="M40">
        <v>768684546</v>
      </c>
      <c r="N40">
        <v>20000000</v>
      </c>
      <c r="O40">
        <v>8021907</v>
      </c>
      <c r="P40">
        <v>748684546</v>
      </c>
      <c r="Q40" s="1" t="s">
        <v>19</v>
      </c>
      <c r="R40" s="1" t="s">
        <v>20</v>
      </c>
      <c r="S40" s="1" t="s">
        <v>21</v>
      </c>
    </row>
    <row r="41" spans="1:19" x14ac:dyDescent="0.3">
      <c r="A41">
        <v>50396294761</v>
      </c>
      <c r="B41" s="1" t="s">
        <v>62</v>
      </c>
      <c r="C41">
        <v>2</v>
      </c>
      <c r="D41" s="1" t="s">
        <v>22</v>
      </c>
      <c r="E41">
        <v>2</v>
      </c>
      <c r="G41" s="2">
        <v>55.66</v>
      </c>
      <c r="H41" s="2">
        <v>9.5500000000000007</v>
      </c>
      <c r="I41" s="2">
        <f>G41+H41</f>
        <v>65.209999999999994</v>
      </c>
      <c r="J41">
        <v>7400000</v>
      </c>
      <c r="K41">
        <v>482554000</v>
      </c>
      <c r="L41">
        <v>8236200</v>
      </c>
      <c r="M41">
        <v>537082602</v>
      </c>
      <c r="N41">
        <v>13000000</v>
      </c>
      <c r="O41">
        <v>8109897</v>
      </c>
      <c r="P41">
        <v>528846402</v>
      </c>
      <c r="Q41" s="1" t="s">
        <v>19</v>
      </c>
      <c r="R41" s="1" t="s">
        <v>20</v>
      </c>
      <c r="S41" s="1" t="s">
        <v>21</v>
      </c>
    </row>
    <row r="42" spans="1:19" x14ac:dyDescent="0.3">
      <c r="A42">
        <v>50390391574</v>
      </c>
      <c r="B42" s="1" t="s">
        <v>63</v>
      </c>
      <c r="C42">
        <v>1</v>
      </c>
      <c r="D42" s="1" t="s">
        <v>22</v>
      </c>
      <c r="E42">
        <v>2</v>
      </c>
      <c r="G42" s="2">
        <v>55.66</v>
      </c>
      <c r="H42" s="2">
        <v>9.5500000000000007</v>
      </c>
      <c r="I42" s="2">
        <f>G42+H42</f>
        <v>65.209999999999994</v>
      </c>
      <c r="J42">
        <v>7250000</v>
      </c>
      <c r="K42">
        <v>472772500</v>
      </c>
      <c r="L42">
        <v>8069250</v>
      </c>
      <c r="M42">
        <v>526195793</v>
      </c>
      <c r="N42">
        <v>13000000</v>
      </c>
      <c r="O42">
        <v>7945507</v>
      </c>
      <c r="P42">
        <v>518126543</v>
      </c>
      <c r="Q42" s="1" t="s">
        <v>19</v>
      </c>
      <c r="R42" s="1" t="s">
        <v>20</v>
      </c>
      <c r="S42" s="1" t="s">
        <v>21</v>
      </c>
    </row>
    <row r="43" spans="1:19" x14ac:dyDescent="0.3">
      <c r="A43">
        <v>50379410608</v>
      </c>
      <c r="B43" s="1" t="s">
        <v>64</v>
      </c>
      <c r="C43">
        <v>1</v>
      </c>
      <c r="D43" s="1" t="s">
        <v>22</v>
      </c>
      <c r="E43">
        <v>3</v>
      </c>
      <c r="G43" s="2">
        <v>76.430000000000007</v>
      </c>
      <c r="H43" s="2">
        <v>16.899999999999999</v>
      </c>
      <c r="I43" s="2">
        <f>G43+H43</f>
        <v>93.330000000000013</v>
      </c>
      <c r="J43">
        <v>7250000</v>
      </c>
      <c r="K43">
        <v>676642500</v>
      </c>
      <c r="L43">
        <v>8069250</v>
      </c>
      <c r="M43">
        <v>753103103</v>
      </c>
      <c r="N43">
        <v>20000000</v>
      </c>
      <c r="O43">
        <v>7854957</v>
      </c>
      <c r="P43">
        <v>733103103</v>
      </c>
      <c r="Q43" s="1" t="s">
        <v>19</v>
      </c>
      <c r="R43" s="1" t="s">
        <v>20</v>
      </c>
      <c r="S43" s="1" t="s">
        <v>21</v>
      </c>
    </row>
    <row r="44" spans="1:19" x14ac:dyDescent="0.3">
      <c r="A44">
        <v>50387753498</v>
      </c>
      <c r="B44" s="1" t="s">
        <v>65</v>
      </c>
      <c r="C44">
        <v>1</v>
      </c>
      <c r="D44" s="1" t="s">
        <v>22</v>
      </c>
      <c r="E44">
        <v>3</v>
      </c>
      <c r="G44" s="2">
        <v>76.430000000000007</v>
      </c>
      <c r="H44" s="2">
        <v>16.899999999999999</v>
      </c>
      <c r="I44" s="2">
        <f>G44+H44</f>
        <v>93.330000000000013</v>
      </c>
      <c r="J44">
        <v>7250000</v>
      </c>
      <c r="K44">
        <v>676642500</v>
      </c>
      <c r="L44">
        <v>7915550</v>
      </c>
      <c r="M44">
        <v>738758282</v>
      </c>
      <c r="N44">
        <v>12000000</v>
      </c>
      <c r="O44">
        <v>7786974</v>
      </c>
      <c r="P44">
        <v>726758282</v>
      </c>
      <c r="Q44" s="1" t="s">
        <v>19</v>
      </c>
      <c r="R44" s="1" t="s">
        <v>20</v>
      </c>
      <c r="S44" s="1" t="s">
        <v>21</v>
      </c>
    </row>
    <row r="45" spans="1:19" x14ac:dyDescent="0.3">
      <c r="A45">
        <v>50394734445</v>
      </c>
      <c r="B45" s="1" t="s">
        <v>66</v>
      </c>
      <c r="C45">
        <v>1</v>
      </c>
      <c r="D45" s="1" t="s">
        <v>22</v>
      </c>
      <c r="E45">
        <v>2</v>
      </c>
      <c r="G45" s="2">
        <v>55.66</v>
      </c>
      <c r="H45" s="2">
        <v>9.5500000000000007</v>
      </c>
      <c r="I45" s="2">
        <f>G45+H45</f>
        <v>65.209999999999994</v>
      </c>
      <c r="J45">
        <v>7250000</v>
      </c>
      <c r="K45">
        <v>472772500</v>
      </c>
      <c r="L45">
        <v>7915550</v>
      </c>
      <c r="M45">
        <v>516173016</v>
      </c>
      <c r="N45">
        <v>80000000</v>
      </c>
      <c r="O45">
        <v>7792869</v>
      </c>
      <c r="P45">
        <v>508173016</v>
      </c>
      <c r="Q45" s="1" t="s">
        <v>19</v>
      </c>
      <c r="R45" s="1" t="s">
        <v>20</v>
      </c>
      <c r="S45" s="1" t="s">
        <v>21</v>
      </c>
    </row>
    <row r="46" spans="1:19" x14ac:dyDescent="0.3">
      <c r="A46">
        <v>50393814539</v>
      </c>
      <c r="B46" s="1" t="s">
        <v>67</v>
      </c>
      <c r="C46">
        <v>1</v>
      </c>
      <c r="D46" s="1" t="s">
        <v>22</v>
      </c>
      <c r="E46">
        <v>2</v>
      </c>
      <c r="G46" s="2">
        <v>55.66</v>
      </c>
      <c r="H46" s="2">
        <v>9.5500000000000007</v>
      </c>
      <c r="I46" s="2">
        <f>G46+H46</f>
        <v>65.209999999999994</v>
      </c>
      <c r="J46">
        <v>7250000</v>
      </c>
      <c r="K46">
        <v>472772500</v>
      </c>
      <c r="L46">
        <v>7685000</v>
      </c>
      <c r="M46">
        <v>501138850</v>
      </c>
      <c r="N46">
        <v>80000000</v>
      </c>
      <c r="O46">
        <v>7562319</v>
      </c>
      <c r="P46">
        <v>493138850</v>
      </c>
      <c r="Q46" s="1" t="s">
        <v>19</v>
      </c>
      <c r="R46" s="1" t="s">
        <v>20</v>
      </c>
      <c r="S46" s="1" t="s">
        <v>21</v>
      </c>
    </row>
    <row r="47" spans="1:19" x14ac:dyDescent="0.3">
      <c r="A47">
        <v>50385123147</v>
      </c>
      <c r="B47" s="1" t="s">
        <v>68</v>
      </c>
      <c r="C47">
        <v>1</v>
      </c>
      <c r="D47" s="1" t="s">
        <v>22</v>
      </c>
      <c r="E47">
        <v>3</v>
      </c>
      <c r="G47" s="2">
        <v>76.430000000000007</v>
      </c>
      <c r="H47" s="2">
        <v>16.899999999999999</v>
      </c>
      <c r="I47" s="2">
        <f>G47+H47</f>
        <v>93.330000000000013</v>
      </c>
      <c r="J47">
        <v>7250000</v>
      </c>
      <c r="K47">
        <v>676642500</v>
      </c>
      <c r="L47">
        <v>7685000</v>
      </c>
      <c r="M47">
        <v>717241050</v>
      </c>
      <c r="N47">
        <v>12000000</v>
      </c>
      <c r="O47">
        <v>7556424</v>
      </c>
      <c r="P47">
        <v>705241050</v>
      </c>
      <c r="Q47" s="1" t="s">
        <v>19</v>
      </c>
      <c r="R47" s="1" t="s">
        <v>20</v>
      </c>
      <c r="S47" s="1" t="s">
        <v>21</v>
      </c>
    </row>
    <row r="48" spans="1:19" x14ac:dyDescent="0.3">
      <c r="A48">
        <v>50390561927</v>
      </c>
      <c r="B48" s="1" t="s">
        <v>69</v>
      </c>
      <c r="C48">
        <v>1</v>
      </c>
      <c r="D48" s="1" t="s">
        <v>22</v>
      </c>
      <c r="E48">
        <v>3</v>
      </c>
      <c r="G48" s="2">
        <v>76.430000000000007</v>
      </c>
      <c r="H48" s="2">
        <v>16.899999999999999</v>
      </c>
      <c r="I48" s="2">
        <f>G48+H48</f>
        <v>93.330000000000013</v>
      </c>
      <c r="J48">
        <v>7250000</v>
      </c>
      <c r="K48">
        <v>676642500</v>
      </c>
      <c r="L48">
        <v>8069250</v>
      </c>
      <c r="M48">
        <v>753103103</v>
      </c>
      <c r="N48">
        <v>20000000</v>
      </c>
      <c r="O48">
        <v>7854957</v>
      </c>
      <c r="P48">
        <v>733103103</v>
      </c>
      <c r="Q48" s="1" t="s">
        <v>19</v>
      </c>
      <c r="R48" s="1" t="s">
        <v>20</v>
      </c>
      <c r="S48" s="1" t="s">
        <v>21</v>
      </c>
    </row>
    <row r="49" spans="1:19" x14ac:dyDescent="0.3">
      <c r="A49">
        <v>50374620201</v>
      </c>
      <c r="B49" s="1" t="s">
        <v>70</v>
      </c>
      <c r="C49">
        <v>1</v>
      </c>
      <c r="D49" s="1" t="s">
        <v>22</v>
      </c>
      <c r="E49">
        <v>2</v>
      </c>
      <c r="F49">
        <v>2</v>
      </c>
      <c r="G49" s="2">
        <v>55.66</v>
      </c>
      <c r="H49" s="2">
        <v>9.5500000000000007</v>
      </c>
      <c r="I49" s="2">
        <f>G49+H49</f>
        <v>65.209999999999994</v>
      </c>
      <c r="J49">
        <v>7250000</v>
      </c>
      <c r="K49">
        <v>472772500</v>
      </c>
      <c r="L49">
        <v>8069250</v>
      </c>
      <c r="M49">
        <v>526195793</v>
      </c>
      <c r="N49">
        <v>13000000</v>
      </c>
      <c r="O49">
        <v>7945507</v>
      </c>
      <c r="P49">
        <v>518126543</v>
      </c>
      <c r="Q49" s="1" t="s">
        <v>19</v>
      </c>
      <c r="R49" s="1" t="s">
        <v>20</v>
      </c>
      <c r="S49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FF3067-3293-4C43-A143-22BD9EE56E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hubspot-crm-exports-todos-los-r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Galindo</dc:creator>
  <cp:lastModifiedBy>Rubén Galindo</cp:lastModifiedBy>
  <dcterms:created xsi:type="dcterms:W3CDTF">2026-03-24T14:59:41Z</dcterms:created>
  <dcterms:modified xsi:type="dcterms:W3CDTF">2026-03-24T15:12:32Z</dcterms:modified>
</cp:coreProperties>
</file>