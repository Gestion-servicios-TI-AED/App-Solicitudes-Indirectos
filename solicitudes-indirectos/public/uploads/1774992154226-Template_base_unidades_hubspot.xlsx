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ownloads\"/>
    </mc:Choice>
  </mc:AlternateContent>
  <xr:revisionPtr revIDLastSave="0" documentId="13_ncr:1_{87DCA900-BE87-4B25-A711-D9AFEFFCE335}" xr6:coauthVersionLast="47" xr6:coauthVersionMax="47" xr10:uidLastSave="{00000000-0000-0000-0000-000000000000}"/>
  <bookViews>
    <workbookView xWindow="-108" yWindow="-108" windowWidth="41496" windowHeight="16776" activeTab="1" xr2:uid="{C96EDE87-7DF5-4221-BE08-C95AFE9A24C9}"/>
  </bookViews>
  <sheets>
    <sheet name="Liva" sheetId="2" r:id="rId1"/>
    <sheet name="Seiva" sheetId="3" r:id="rId2"/>
  </sheets>
  <definedNames>
    <definedName name="DatosExternos_1" localSheetId="0" hidden="1">Liva!$A$1:$K$49</definedName>
    <definedName name="DatosExternos_1" localSheetId="1" hidden="1">Seiva!$A$1:$K$49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2" l="1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9DE461-21EB-44F0-BE98-E84A0F301396}" keepAlive="1" name="Consulta - hubspot-crm-exports-todos-los-registros-2026-03-24-3" description="Conexión a la consulta 'hubspot-crm-exports-todos-los-registros-2026-03-24-3' en el libro." type="5" refreshedVersion="8" background="1" saveData="1">
    <dbPr connection="Provider=Microsoft.Mashup.OleDb.1;Data Source=$Workbook$;Location=hubspot-crm-exports-todos-los-registros-2026-03-24-3;Extended Properties=&quot;&quot;" command="SELECT * FROM [hubspot-crm-exports-todos-los-registros-2026-03-24-3]"/>
  </connection>
  <connection id="2" xr16:uid="{274E3D1E-B7D9-4D8A-A2F3-E756CC6C3FF5}" keepAlive="1" name="Consulta - hubspot-crm-exports-todos-los-registros-2026-03-24-3 (2)" description="Conexión a la consulta 'hubspot-crm-exports-todos-los-registros-2026-03-24-3 (2)' en el libro." type="5" refreshedVersion="8" background="1" saveData="1">
    <dbPr connection="Provider=Microsoft.Mashup.OleDb.1;Data Source=$Workbook$;Location=&quot;hubspot-crm-exports-todos-los-registros-2026-03-24-3 (2)&quot;;Extended Properties=&quot;&quot;" command="SELECT * FROM [hubspot-crm-exports-todos-los-registros-2026-03-24-3 (2)]"/>
  </connection>
</connections>
</file>

<file path=xl/sharedStrings.xml><?xml version="1.0" encoding="utf-8"?>
<sst xmlns="http://schemas.openxmlformats.org/spreadsheetml/2006/main" count="648" uniqueCount="125">
  <si>
    <t>Nomenclatura</t>
  </si>
  <si>
    <t>Piso</t>
  </si>
  <si>
    <t>Vista</t>
  </si>
  <si>
    <t>No. de Alcobas</t>
  </si>
  <si>
    <t>No. de Baños</t>
  </si>
  <si>
    <t>Área Apartamento (m²)</t>
  </si>
  <si>
    <t>Área Terraza (m²)</t>
  </si>
  <si>
    <t>Área Total (m²)</t>
  </si>
  <si>
    <t>Tipo de apartamento</t>
  </si>
  <si>
    <t>Tipo de unidad</t>
  </si>
  <si>
    <t>Etapa</t>
  </si>
  <si>
    <t/>
  </si>
  <si>
    <t>Apartamento</t>
  </si>
  <si>
    <t>Etapa 1</t>
  </si>
  <si>
    <t>Botanika</t>
  </si>
  <si>
    <t>LIVA - 608</t>
  </si>
  <si>
    <t>LIVA - 607</t>
  </si>
  <si>
    <t>LIVA - 606</t>
  </si>
  <si>
    <t>LIVA - 605</t>
  </si>
  <si>
    <t>LIVA - 604</t>
  </si>
  <si>
    <t>LIVA - 603</t>
  </si>
  <si>
    <t>LIVA - 602</t>
  </si>
  <si>
    <t>LIVA - 601</t>
  </si>
  <si>
    <t>LIVA - 508</t>
  </si>
  <si>
    <t>LIVA - 507</t>
  </si>
  <si>
    <t>LIVA - 506</t>
  </si>
  <si>
    <t>LIVA - 505</t>
  </si>
  <si>
    <t>LIVA - 504</t>
  </si>
  <si>
    <t>LIVA - 503</t>
  </si>
  <si>
    <t>LIVA - 502</t>
  </si>
  <si>
    <t>LIVA - 501</t>
  </si>
  <si>
    <t>LIVA - 408</t>
  </si>
  <si>
    <t>LIVA - 407</t>
  </si>
  <si>
    <t>LIVA - 406</t>
  </si>
  <si>
    <t>LIVA - 405</t>
  </si>
  <si>
    <t>LIVA - 404</t>
  </si>
  <si>
    <t>LIVA - 403</t>
  </si>
  <si>
    <t>LIVA - 402</t>
  </si>
  <si>
    <t>LIVA - 401</t>
  </si>
  <si>
    <t>LIVA - 308</t>
  </si>
  <si>
    <t>LIVA - 307</t>
  </si>
  <si>
    <t>LIVA - 306</t>
  </si>
  <si>
    <t>LIVA - 305</t>
  </si>
  <si>
    <t>LIVA - 304</t>
  </si>
  <si>
    <t>LIVA - 303</t>
  </si>
  <si>
    <t>LIVA - 302</t>
  </si>
  <si>
    <t>LIVA - 301</t>
  </si>
  <si>
    <t>LIVA - 208</t>
  </si>
  <si>
    <t>LIVA - 207</t>
  </si>
  <si>
    <t>LIVA - 206</t>
  </si>
  <si>
    <t>LIVA - 205</t>
  </si>
  <si>
    <t>LIVA - 204</t>
  </si>
  <si>
    <t>LIVA - 203</t>
  </si>
  <si>
    <t>LIVA - 202</t>
  </si>
  <si>
    <t>LIVA - 201</t>
  </si>
  <si>
    <t>LIVA - 108</t>
  </si>
  <si>
    <t>LIVA - 107</t>
  </si>
  <si>
    <t>LIVA - 106</t>
  </si>
  <si>
    <t>LIVA - 105</t>
  </si>
  <si>
    <t>LIVA - 104</t>
  </si>
  <si>
    <t>LIVA - 103</t>
  </si>
  <si>
    <t>LIVA - 102</t>
  </si>
  <si>
    <t>LIVA - 101</t>
  </si>
  <si>
    <t>Planos</t>
  </si>
  <si>
    <t>SEIVA - 101</t>
  </si>
  <si>
    <t>SEIVA - 102</t>
  </si>
  <si>
    <t>SEIVA - 103</t>
  </si>
  <si>
    <t>SEIVA - 104</t>
  </si>
  <si>
    <t>SEIVA - 105</t>
  </si>
  <si>
    <t>SEIVA - 106</t>
  </si>
  <si>
    <t>SEIVA - 107</t>
  </si>
  <si>
    <t>SEIVA - 108</t>
  </si>
  <si>
    <t>SEIVA - 201</t>
  </si>
  <si>
    <t>SEIVA - 202</t>
  </si>
  <si>
    <t>SEIVA - 203</t>
  </si>
  <si>
    <t>SEIVA - 204</t>
  </si>
  <si>
    <t>SEIVA - 205</t>
  </si>
  <si>
    <t>SEIVA - 206</t>
  </si>
  <si>
    <t>SEIVA - 207</t>
  </si>
  <si>
    <t>SEIVA - 208</t>
  </si>
  <si>
    <t>SEIVA - 301</t>
  </si>
  <si>
    <t>SEIVA - 302</t>
  </si>
  <si>
    <t>SEIVA - 303</t>
  </si>
  <si>
    <t>SEIVA - 304</t>
  </si>
  <si>
    <t>SEIVA - 305</t>
  </si>
  <si>
    <t>SEIVA - 306</t>
  </si>
  <si>
    <t>SEIVA - 307</t>
  </si>
  <si>
    <t>SEIVA - 308</t>
  </si>
  <si>
    <t>SEIVA - 401</t>
  </si>
  <si>
    <t>SEIVA - 402</t>
  </si>
  <si>
    <t>SEIVA - 403</t>
  </si>
  <si>
    <t>SEIVA - 404</t>
  </si>
  <si>
    <t>SEIVA - 405</t>
  </si>
  <si>
    <t>SEIVA - 406</t>
  </si>
  <si>
    <t>SEIVA - 407</t>
  </si>
  <si>
    <t>SEIVA - 408</t>
  </si>
  <si>
    <t>SEIVA - 501</t>
  </si>
  <si>
    <t>SEIVA - 502</t>
  </si>
  <si>
    <t>SEIVA - 503</t>
  </si>
  <si>
    <t>SEIVA - 504</t>
  </si>
  <si>
    <t>SEIVA - 505</t>
  </si>
  <si>
    <t>SEIVA - 506</t>
  </si>
  <si>
    <t>SEIVA - 507</t>
  </si>
  <si>
    <t>SEIVA - 508</t>
  </si>
  <si>
    <t>SEIVA - 601</t>
  </si>
  <si>
    <t>SEIVA - 602</t>
  </si>
  <si>
    <t>SEIVA - 603</t>
  </si>
  <si>
    <t>SEIVA - 604</t>
  </si>
  <si>
    <t>SEIVA - 605</t>
  </si>
  <si>
    <t>SEIVA - 606</t>
  </si>
  <si>
    <t>SEIVA - 607</t>
  </si>
  <si>
    <t>SEIVA - 608</t>
  </si>
  <si>
    <t>Senderos</t>
  </si>
  <si>
    <t>50.76</t>
  </si>
  <si>
    <t>30.95</t>
  </si>
  <si>
    <t>39.72</t>
  </si>
  <si>
    <t>27.52</t>
  </si>
  <si>
    <t>10.74</t>
  </si>
  <si>
    <t>9.1</t>
  </si>
  <si>
    <t>15.3</t>
  </si>
  <si>
    <t>11.21</t>
  </si>
  <si>
    <t>61.5</t>
  </si>
  <si>
    <t>40.05</t>
  </si>
  <si>
    <t>55.02</t>
  </si>
  <si>
    <t>38.73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</si>
</sst>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left"/>
    </xf>
    <xf numFmtId="0" fontId="0" fillId="2" borderId="0" xfId="0" applyFill="1"/>
  </cellXfs>
  <cellStyles count="1">
    <cellStyle name="Normal" xfId="0" builtinId="0"/>
  </cellStyles>
  <dxfs count="21"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3AEDB9F-CCC6-472F-AA11-25EC99FEEF4F}" autoFormatId="16" applyNumberFormats="0" applyBorderFormats="0" applyFontFormats="0" applyPatternFormats="0" applyAlignmentFormats="0" applyWidthHeightFormats="0">
  <queryTableRefresh nextId="26" unboundColumnsRight="1">
    <queryTableFields count="12">
      <queryTableField id="2" name="Nomenclatura" tableColumnId="2"/>
      <queryTableField id="3" name="Piso" tableColumnId="3"/>
      <queryTableField id="4" name="Vista" tableColumnId="4"/>
      <queryTableField id="5" name="No. de Alcobas" tableColumnId="5"/>
      <queryTableField id="6" name="No. de Baños" tableColumnId="6"/>
      <queryTableField id="7" name="Área Apartamento (m²)" tableColumnId="7"/>
      <queryTableField id="8" name="Área Terraza (m²)" tableColumnId="8"/>
      <queryTableField id="9" name="Área Total (m²)" tableColumnId="9"/>
      <queryTableField id="19" name="Tipo de apartamento" tableColumnId="19"/>
      <queryTableField id="20" name="Tipo de unidad" tableColumnId="20"/>
      <queryTableField id="21" name="Etapa" tableColumnId="21"/>
      <queryTableField id="25" dataBound="0" tableColumnId="22"/>
    </queryTableFields>
    <queryTableDeletedFields count="12">
      <deletedField name="Associated Proyecto inmobiliario"/>
      <deletedField name="Associated Torre"/>
      <deletedField name="Associated Torre IDs"/>
      <deletedField name="Associated Proyecto inmobiliario IDs"/>
      <deletedField name="Valor por m² (Factibiliad)"/>
      <deletedField name="Valor unidad (Factibilidad)"/>
      <deletedField name="Valor m² (Comercial)"/>
      <deletedField name="Valor unidad (Comercial)"/>
      <deletedField name="Bono"/>
      <deletedField name="Valor m² (Con descuento)"/>
      <deletedField name="Valor unidad (Con descuento)"/>
      <deletedField name="ID de registr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25DC605-682E-4FFF-898A-911EAE17293C}" autoFormatId="16" applyNumberFormats="0" applyBorderFormats="0" applyFontFormats="0" applyPatternFormats="0" applyAlignmentFormats="0" applyWidthHeightFormats="0">
  <queryTableRefresh nextId="26" unboundColumnsRight="1">
    <queryTableFields count="12">
      <queryTableField id="2" name="Nomenclatura" tableColumnId="2"/>
      <queryTableField id="3" name="Piso" tableColumnId="3"/>
      <queryTableField id="4" name="Vista" tableColumnId="4"/>
      <queryTableField id="5" name="No. de Alcobas" tableColumnId="5"/>
      <queryTableField id="6" name="No. de Baños" tableColumnId="6"/>
      <queryTableField id="7" name="Área Apartamento (m²)" tableColumnId="7"/>
      <queryTableField id="8" name="Área Terraza (m²)" tableColumnId="8"/>
      <queryTableField id="9" name="Área Total (m²)" tableColumnId="9"/>
      <queryTableField id="19" name="Tipo de apartamento" tableColumnId="19"/>
      <queryTableField id="20" name="Tipo de unidad" tableColumnId="20"/>
      <queryTableField id="21" name="Etapa" tableColumnId="21"/>
      <queryTableField id="25" dataBound="0" tableColumnId="22"/>
    </queryTableFields>
    <queryTableDeletedFields count="12">
      <deletedField name="Associated Proyecto inmobiliario"/>
      <deletedField name="Associated Torre"/>
      <deletedField name="Associated Torre IDs"/>
      <deletedField name="Associated Proyecto inmobiliario IDs"/>
      <deletedField name="Valor por m² (Factibiliad)"/>
      <deletedField name="Valor unidad (Factibilidad)"/>
      <deletedField name="Valor m² (Comercial)"/>
      <deletedField name="Valor unidad (Comercial)"/>
      <deletedField name="Bono"/>
      <deletedField name="Valor m² (Con descuento)"/>
      <deletedField name="Valor unidad (Con descuento)"/>
      <deletedField name="ID de registr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F7E16-46FA-4996-B34C-56989C4E52E0}" name="hubspot_crm_exports_todos_los_registros_2026_03_24_3" displayName="hubspot_crm_exports_todos_los_registros_2026_03_24_3" ref="A1:L49" tableType="queryTable" totalsRowShown="0">
  <autoFilter ref="A1:L49" xr:uid="{0F7F7E16-46FA-4996-B34C-56989C4E52E0}"/>
  <sortState xmlns:xlrd2="http://schemas.microsoft.com/office/spreadsheetml/2017/richdata2" ref="A2:K49">
    <sortCondition ref="A1:A49"/>
  </sortState>
  <tableColumns count="12">
    <tableColumn id="2" xr3:uid="{391A270A-6210-4397-9560-897A3EEEFACF}" uniqueName="2" name="Nomenclatura" queryTableFieldId="2" dataDxfId="20"/>
    <tableColumn id="3" xr3:uid="{74C2BA8B-FBFE-4DA0-BBFD-023D3FF00B7C}" uniqueName="3" name="Piso" queryTableFieldId="3"/>
    <tableColumn id="4" xr3:uid="{BA060D38-8F22-4914-867E-A5C73EA8F3E4}" uniqueName="4" name="Vista" queryTableFieldId="4" dataDxfId="19"/>
    <tableColumn id="5" xr3:uid="{E969EA38-1932-4095-9087-394C228D6B27}" uniqueName="5" name="No. de Alcobas" queryTableFieldId="5"/>
    <tableColumn id="6" xr3:uid="{88961D87-670E-4B3F-9115-815887D662FD}" uniqueName="6" name="No. de Baños" queryTableFieldId="6"/>
    <tableColumn id="7" xr3:uid="{24441E69-C737-46C4-A8A7-BBB2B0A88841}" uniqueName="7" name="Área Apartamento (m²)" queryTableFieldId="7" dataDxfId="3"/>
    <tableColumn id="8" xr3:uid="{91340117-E2FE-43F0-894D-6194F06B40A0}" uniqueName="8" name="Área Terraza (m²)" queryTableFieldId="8" dataDxfId="2"/>
    <tableColumn id="9" xr3:uid="{AEB722CC-9DA1-4D4A-940C-0EDDF4D476BD}" uniqueName="9" name="Área Total (m²)" queryTableFieldId="9" dataDxfId="0"/>
    <tableColumn id="19" xr3:uid="{F28D6EC2-027D-4313-BA2B-57C349DC3D2E}" uniqueName="19" name="Tipo de apartamento" queryTableFieldId="19" dataDxfId="1"/>
    <tableColumn id="20" xr3:uid="{9EE425D8-BAB8-4383-9160-5D43D1E4ECE5}" uniqueName="20" name="Tipo de unidad" queryTableFieldId="20" dataDxfId="18"/>
    <tableColumn id="21" xr3:uid="{988A3119-AEA7-435E-88D5-818A8F6DA637}" uniqueName="21" name="Etapa" queryTableFieldId="21" dataDxfId="17"/>
    <tableColumn id="22" xr3:uid="{85AC7DAD-8177-4F23-BAFC-FE79143A2EC7}" uniqueName="22" name="Planos" queryTableFieldId="25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9C65EA-440E-4490-BDF3-C3AEBA93B0C9}" name="hubspot_crm_exports_todos_los_registros_2026_03_24_33" displayName="hubspot_crm_exports_todos_los_registros_2026_03_24_33" ref="A1:L49" tableType="queryTable">
  <autoFilter ref="A1:L49" xr:uid="{0F7F7E16-46FA-4996-B34C-56989C4E52E0}"/>
  <sortState xmlns:xlrd2="http://schemas.microsoft.com/office/spreadsheetml/2017/richdata2" ref="A2:K49">
    <sortCondition ref="A1:A49"/>
  </sortState>
  <tableColumns count="12">
    <tableColumn id="2" xr3:uid="{6C7A5F23-5FAC-4BE2-9C32-2A10DE5E656E}" uniqueName="2" name="Nomenclatura" totalsRowLabel="Total" queryTableFieldId="2" dataDxfId="15"/>
    <tableColumn id="3" xr3:uid="{35E7DC5A-A382-4BA8-8BA9-4741D8CEBE6F}" uniqueName="3" name="Piso" queryTableFieldId="3"/>
    <tableColumn id="4" xr3:uid="{869C5861-CF63-4DE9-9F24-5854FC404F69}" uniqueName="4" name="Vista" queryTableFieldId="4" dataDxfId="14"/>
    <tableColumn id="5" xr3:uid="{BAB940E4-62E0-43B7-BA97-BFF39AD34AB0}" uniqueName="5" name="No. de Alcobas" queryTableFieldId="5"/>
    <tableColumn id="6" xr3:uid="{BB45B9A3-47B7-4A84-A2FA-EBAA11ECB180}" uniqueName="6" name="No. de Baños" queryTableFieldId="6"/>
    <tableColumn id="7" xr3:uid="{61F1945B-1613-441D-825F-247EF0C55F02}" uniqueName="7" name="Área Apartamento (m²)" queryTableFieldId="7" dataDxfId="13" totalsRowDxfId="12"/>
    <tableColumn id="8" xr3:uid="{38CF524F-30C0-47AE-A2B3-15F75FA622B1}" uniqueName="8" name="Área Terraza (m²)" queryTableFieldId="8" dataDxfId="11" totalsRowDxfId="10"/>
    <tableColumn id="9" xr3:uid="{4F0637F4-CA52-4E7B-A539-D37FEE65A0B4}" uniqueName="9" name="Área Total (m²)" queryTableFieldId="9" dataDxfId="9" totalsRowDxfId="8"/>
    <tableColumn id="19" xr3:uid="{483864CB-6559-4174-95C8-AEDA54CDF0EC}" uniqueName="19" name="Tipo de apartamento" queryTableFieldId="19" dataDxfId="7"/>
    <tableColumn id="20" xr3:uid="{72C48AAD-68A5-433A-8667-C22D126E3ABA}" uniqueName="20" name="Tipo de unidad" queryTableFieldId="20" dataDxfId="6"/>
    <tableColumn id="21" xr3:uid="{7E8E69AE-3B7D-4656-A445-E807A5B70399}" uniqueName="21" name="Etapa" totalsRowFunction="count" queryTableFieldId="21" dataDxfId="5"/>
    <tableColumn id="22" xr3:uid="{7D0238E9-FF83-4781-A57A-EFACA8634EA9}" uniqueName="22" name="Planos" queryTableFieldId="2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7CA0CF-3AE5-4F42-AF7F-FAD1439B7094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263E-8325-41E1-A6DB-785A251EC5BB}">
  <dimension ref="A1:L49"/>
  <sheetViews>
    <sheetView zoomScale="130" zoomScaleNormal="130" workbookViewId="0">
      <selection activeCell="E17" sqref="E17"/>
    </sheetView>
  </sheetViews>
  <sheetFormatPr baseColWidth="10" defaultRowHeight="14.4" x14ac:dyDescent="0.3"/>
  <cols>
    <col min="1" max="1" width="15.109375" bestFit="1" customWidth="1"/>
    <col min="2" max="2" width="6.77734375" bestFit="1" customWidth="1"/>
    <col min="3" max="3" width="15.44140625" bestFit="1" customWidth="1"/>
    <col min="4" max="4" width="15.5546875" bestFit="1" customWidth="1"/>
    <col min="5" max="5" width="13.88671875" bestFit="1" customWidth="1"/>
    <col min="6" max="6" width="22.33203125" bestFit="1" customWidth="1"/>
    <col min="7" max="7" width="17.44140625" bestFit="1" customWidth="1"/>
    <col min="8" max="8" width="15.44140625" bestFit="1" customWidth="1"/>
    <col min="9" max="9" width="20.44140625" bestFit="1" customWidth="1"/>
    <col min="10" max="10" width="15.33203125" bestFit="1" customWidth="1"/>
    <col min="11" max="11" width="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s="4" t="s">
        <v>63</v>
      </c>
    </row>
    <row r="2" spans="1:12" x14ac:dyDescent="0.3">
      <c r="A2" t="s">
        <v>62</v>
      </c>
      <c r="B2">
        <v>1</v>
      </c>
      <c r="C2" t="s">
        <v>14</v>
      </c>
      <c r="D2">
        <v>2</v>
      </c>
      <c r="F2" s="3">
        <v>55.66</v>
      </c>
      <c r="G2" s="3">
        <v>9.5500000000000007</v>
      </c>
      <c r="H2" s="3">
        <f t="shared" ref="H2:H49" si="0">F2+G2</f>
        <v>65.209999999999994</v>
      </c>
      <c r="I2" t="s">
        <v>11</v>
      </c>
      <c r="J2" t="s">
        <v>12</v>
      </c>
      <c r="K2" t="s">
        <v>13</v>
      </c>
    </row>
    <row r="3" spans="1:12" x14ac:dyDescent="0.3">
      <c r="A3" t="s">
        <v>61</v>
      </c>
      <c r="B3">
        <v>1</v>
      </c>
      <c r="C3" t="s">
        <v>14</v>
      </c>
      <c r="D3">
        <v>3</v>
      </c>
      <c r="F3" s="3">
        <v>76.430000000000007</v>
      </c>
      <c r="G3" s="3">
        <v>16.899999999999999</v>
      </c>
      <c r="H3" s="3">
        <f t="shared" si="0"/>
        <v>93.330000000000013</v>
      </c>
      <c r="I3" t="s">
        <v>11</v>
      </c>
      <c r="J3" t="s">
        <v>12</v>
      </c>
      <c r="K3" t="s">
        <v>13</v>
      </c>
    </row>
    <row r="4" spans="1:12" x14ac:dyDescent="0.3">
      <c r="A4" t="s">
        <v>60</v>
      </c>
      <c r="B4">
        <v>1</v>
      </c>
      <c r="C4" t="s">
        <v>14</v>
      </c>
      <c r="D4">
        <v>3</v>
      </c>
      <c r="F4" s="3">
        <v>76.430000000000007</v>
      </c>
      <c r="G4" s="3">
        <v>16.899999999999999</v>
      </c>
      <c r="H4" s="3">
        <f t="shared" si="0"/>
        <v>93.330000000000013</v>
      </c>
      <c r="I4" t="s">
        <v>11</v>
      </c>
      <c r="J4" t="s">
        <v>12</v>
      </c>
      <c r="K4" t="s">
        <v>13</v>
      </c>
    </row>
    <row r="5" spans="1:12" x14ac:dyDescent="0.3">
      <c r="A5" t="s">
        <v>59</v>
      </c>
      <c r="B5">
        <v>1</v>
      </c>
      <c r="C5" t="s">
        <v>14</v>
      </c>
      <c r="D5">
        <v>2</v>
      </c>
      <c r="F5" s="3">
        <v>55.66</v>
      </c>
      <c r="G5" s="3">
        <v>9.5500000000000007</v>
      </c>
      <c r="H5" s="3">
        <f t="shared" si="0"/>
        <v>65.209999999999994</v>
      </c>
      <c r="I5" t="s">
        <v>11</v>
      </c>
      <c r="J5" t="s">
        <v>12</v>
      </c>
      <c r="K5" t="s">
        <v>13</v>
      </c>
    </row>
    <row r="6" spans="1:12" x14ac:dyDescent="0.3">
      <c r="A6" t="s">
        <v>58</v>
      </c>
      <c r="B6">
        <v>1</v>
      </c>
      <c r="C6" t="s">
        <v>14</v>
      </c>
      <c r="D6">
        <v>2</v>
      </c>
      <c r="F6" s="3">
        <v>55.66</v>
      </c>
      <c r="G6" s="3">
        <v>9.5500000000000007</v>
      </c>
      <c r="H6" s="3">
        <f t="shared" si="0"/>
        <v>65.209999999999994</v>
      </c>
      <c r="I6" t="s">
        <v>11</v>
      </c>
      <c r="J6" t="s">
        <v>12</v>
      </c>
      <c r="K6" t="s">
        <v>13</v>
      </c>
    </row>
    <row r="7" spans="1:12" x14ac:dyDescent="0.3">
      <c r="A7" t="s">
        <v>57</v>
      </c>
      <c r="B7">
        <v>1</v>
      </c>
      <c r="C7" t="s">
        <v>14</v>
      </c>
      <c r="D7">
        <v>3</v>
      </c>
      <c r="F7" s="3">
        <v>76.430000000000007</v>
      </c>
      <c r="G7" s="3">
        <v>16.899999999999999</v>
      </c>
      <c r="H7" s="3">
        <f t="shared" si="0"/>
        <v>93.330000000000013</v>
      </c>
      <c r="I7" t="s">
        <v>11</v>
      </c>
      <c r="J7" t="s">
        <v>12</v>
      </c>
      <c r="K7" t="s">
        <v>13</v>
      </c>
    </row>
    <row r="8" spans="1:12" x14ac:dyDescent="0.3">
      <c r="A8" t="s">
        <v>56</v>
      </c>
      <c r="B8">
        <v>1</v>
      </c>
      <c r="C8" t="s">
        <v>14</v>
      </c>
      <c r="D8">
        <v>3</v>
      </c>
      <c r="F8" s="3">
        <v>76.430000000000007</v>
      </c>
      <c r="G8" s="3">
        <v>16.899999999999999</v>
      </c>
      <c r="H8" s="3">
        <f t="shared" si="0"/>
        <v>93.330000000000013</v>
      </c>
      <c r="I8" t="s">
        <v>11</v>
      </c>
      <c r="J8" t="s">
        <v>12</v>
      </c>
      <c r="K8" t="s">
        <v>13</v>
      </c>
    </row>
    <row r="9" spans="1:12" x14ac:dyDescent="0.3">
      <c r="A9" t="s">
        <v>55</v>
      </c>
      <c r="B9">
        <v>1</v>
      </c>
      <c r="C9" t="s">
        <v>14</v>
      </c>
      <c r="D9">
        <v>2</v>
      </c>
      <c r="F9" s="3">
        <v>55.66</v>
      </c>
      <c r="G9" s="3">
        <v>9.5500000000000007</v>
      </c>
      <c r="H9" s="3">
        <f t="shared" si="0"/>
        <v>65.209999999999994</v>
      </c>
      <c r="I9" t="s">
        <v>11</v>
      </c>
      <c r="J9" t="s">
        <v>12</v>
      </c>
      <c r="K9" t="s">
        <v>13</v>
      </c>
    </row>
    <row r="10" spans="1:12" x14ac:dyDescent="0.3">
      <c r="A10" t="s">
        <v>54</v>
      </c>
      <c r="B10">
        <v>2</v>
      </c>
      <c r="C10" t="s">
        <v>14</v>
      </c>
      <c r="D10">
        <v>2</v>
      </c>
      <c r="F10" s="3">
        <v>55.66</v>
      </c>
      <c r="G10" s="3">
        <v>9.5500000000000007</v>
      </c>
      <c r="H10" s="3">
        <f t="shared" si="0"/>
        <v>65.209999999999994</v>
      </c>
      <c r="I10" t="s">
        <v>11</v>
      </c>
      <c r="J10" t="s">
        <v>12</v>
      </c>
      <c r="K10" t="s">
        <v>13</v>
      </c>
    </row>
    <row r="11" spans="1:12" x14ac:dyDescent="0.3">
      <c r="A11" t="s">
        <v>53</v>
      </c>
      <c r="B11">
        <v>2</v>
      </c>
      <c r="C11" t="s">
        <v>14</v>
      </c>
      <c r="D11">
        <v>3</v>
      </c>
      <c r="F11" s="3">
        <v>76.430000000000007</v>
      </c>
      <c r="G11" s="3">
        <v>16.899999999999999</v>
      </c>
      <c r="H11" s="3">
        <f t="shared" si="0"/>
        <v>93.330000000000013</v>
      </c>
      <c r="I11" t="s">
        <v>11</v>
      </c>
      <c r="J11" t="s">
        <v>12</v>
      </c>
      <c r="K11" t="s">
        <v>13</v>
      </c>
    </row>
    <row r="12" spans="1:12" x14ac:dyDescent="0.3">
      <c r="A12" t="s">
        <v>52</v>
      </c>
      <c r="B12">
        <v>2</v>
      </c>
      <c r="C12" t="s">
        <v>14</v>
      </c>
      <c r="D12">
        <v>3</v>
      </c>
      <c r="F12" s="3">
        <v>76.430000000000007</v>
      </c>
      <c r="G12" s="3">
        <v>16.899999999999999</v>
      </c>
      <c r="H12" s="3">
        <f t="shared" si="0"/>
        <v>93.330000000000013</v>
      </c>
      <c r="I12" t="s">
        <v>11</v>
      </c>
      <c r="J12" t="s">
        <v>12</v>
      </c>
      <c r="K12" t="s">
        <v>13</v>
      </c>
    </row>
    <row r="13" spans="1:12" x14ac:dyDescent="0.3">
      <c r="A13" t="s">
        <v>51</v>
      </c>
      <c r="B13">
        <v>2</v>
      </c>
      <c r="C13" t="s">
        <v>14</v>
      </c>
      <c r="D13">
        <v>2</v>
      </c>
      <c r="F13" s="3">
        <v>55.66</v>
      </c>
      <c r="G13" s="3">
        <v>9.5500000000000007</v>
      </c>
      <c r="H13" s="3">
        <f t="shared" si="0"/>
        <v>65.209999999999994</v>
      </c>
      <c r="I13" t="s">
        <v>11</v>
      </c>
      <c r="J13" t="s">
        <v>12</v>
      </c>
      <c r="K13" t="s">
        <v>13</v>
      </c>
    </row>
    <row r="14" spans="1:12" x14ac:dyDescent="0.3">
      <c r="A14" t="s">
        <v>50</v>
      </c>
      <c r="B14">
        <v>2</v>
      </c>
      <c r="C14" t="s">
        <v>14</v>
      </c>
      <c r="D14">
        <v>2</v>
      </c>
      <c r="F14" s="3">
        <v>55.66</v>
      </c>
      <c r="G14" s="3">
        <v>9.5500000000000007</v>
      </c>
      <c r="H14" s="3">
        <f t="shared" si="0"/>
        <v>65.209999999999994</v>
      </c>
      <c r="I14" t="s">
        <v>11</v>
      </c>
      <c r="J14" t="s">
        <v>12</v>
      </c>
      <c r="K14" t="s">
        <v>13</v>
      </c>
    </row>
    <row r="15" spans="1:12" x14ac:dyDescent="0.3">
      <c r="A15" t="s">
        <v>49</v>
      </c>
      <c r="B15">
        <v>2</v>
      </c>
      <c r="C15" t="s">
        <v>14</v>
      </c>
      <c r="D15">
        <v>3</v>
      </c>
      <c r="F15" s="3">
        <v>76.430000000000007</v>
      </c>
      <c r="G15" s="3">
        <v>16.899999999999999</v>
      </c>
      <c r="H15" s="3">
        <f t="shared" si="0"/>
        <v>93.330000000000013</v>
      </c>
      <c r="I15" t="s">
        <v>11</v>
      </c>
      <c r="J15" t="s">
        <v>12</v>
      </c>
      <c r="K15" t="s">
        <v>13</v>
      </c>
    </row>
    <row r="16" spans="1:12" x14ac:dyDescent="0.3">
      <c r="A16" t="s">
        <v>48</v>
      </c>
      <c r="B16">
        <v>2</v>
      </c>
      <c r="C16" t="s">
        <v>14</v>
      </c>
      <c r="D16">
        <v>3</v>
      </c>
      <c r="F16" s="3">
        <v>76.430000000000007</v>
      </c>
      <c r="G16" s="3">
        <v>16.899999999999999</v>
      </c>
      <c r="H16" s="3">
        <f t="shared" si="0"/>
        <v>93.330000000000013</v>
      </c>
      <c r="I16" t="s">
        <v>11</v>
      </c>
      <c r="J16" t="s">
        <v>12</v>
      </c>
      <c r="K16" t="s">
        <v>13</v>
      </c>
    </row>
    <row r="17" spans="1:11" x14ac:dyDescent="0.3">
      <c r="A17" t="s">
        <v>47</v>
      </c>
      <c r="B17">
        <v>2</v>
      </c>
      <c r="C17" t="s">
        <v>14</v>
      </c>
      <c r="D17">
        <v>2</v>
      </c>
      <c r="F17" s="3">
        <v>55.66</v>
      </c>
      <c r="G17" s="3">
        <v>9.5500000000000007</v>
      </c>
      <c r="H17" s="3">
        <f t="shared" si="0"/>
        <v>65.209999999999994</v>
      </c>
      <c r="I17" t="s">
        <v>11</v>
      </c>
      <c r="J17" t="s">
        <v>12</v>
      </c>
      <c r="K17" t="s">
        <v>13</v>
      </c>
    </row>
    <row r="18" spans="1:11" x14ac:dyDescent="0.3">
      <c r="A18" t="s">
        <v>46</v>
      </c>
      <c r="B18">
        <v>3</v>
      </c>
      <c r="C18" t="s">
        <v>14</v>
      </c>
      <c r="D18">
        <v>2</v>
      </c>
      <c r="F18" s="3">
        <v>55.66</v>
      </c>
      <c r="G18" s="3">
        <v>9.5500000000000007</v>
      </c>
      <c r="H18" s="3">
        <f t="shared" si="0"/>
        <v>65.209999999999994</v>
      </c>
      <c r="I18" t="s">
        <v>11</v>
      </c>
      <c r="J18" t="s">
        <v>12</v>
      </c>
      <c r="K18" t="s">
        <v>13</v>
      </c>
    </row>
    <row r="19" spans="1:11" x14ac:dyDescent="0.3">
      <c r="A19" t="s">
        <v>45</v>
      </c>
      <c r="B19">
        <v>3</v>
      </c>
      <c r="C19" t="s">
        <v>14</v>
      </c>
      <c r="D19">
        <v>3</v>
      </c>
      <c r="F19" s="3">
        <v>76.430000000000007</v>
      </c>
      <c r="G19" s="3">
        <v>16.899999999999999</v>
      </c>
      <c r="H19" s="3">
        <f t="shared" si="0"/>
        <v>93.330000000000013</v>
      </c>
      <c r="I19" t="s">
        <v>11</v>
      </c>
      <c r="J19" t="s">
        <v>12</v>
      </c>
      <c r="K19" t="s">
        <v>13</v>
      </c>
    </row>
    <row r="20" spans="1:11" x14ac:dyDescent="0.3">
      <c r="A20" t="s">
        <v>44</v>
      </c>
      <c r="B20">
        <v>3</v>
      </c>
      <c r="C20" t="s">
        <v>14</v>
      </c>
      <c r="D20">
        <v>3</v>
      </c>
      <c r="F20" s="3">
        <v>76.430000000000007</v>
      </c>
      <c r="G20" s="3">
        <v>16.899999999999999</v>
      </c>
      <c r="H20" s="3">
        <f t="shared" si="0"/>
        <v>93.330000000000013</v>
      </c>
      <c r="I20" t="s">
        <v>11</v>
      </c>
      <c r="J20" t="s">
        <v>12</v>
      </c>
      <c r="K20" t="s">
        <v>13</v>
      </c>
    </row>
    <row r="21" spans="1:11" x14ac:dyDescent="0.3">
      <c r="A21" t="s">
        <v>43</v>
      </c>
      <c r="B21">
        <v>3</v>
      </c>
      <c r="C21" t="s">
        <v>14</v>
      </c>
      <c r="D21">
        <v>2</v>
      </c>
      <c r="F21" s="3">
        <v>55.66</v>
      </c>
      <c r="G21" s="3">
        <v>9.5500000000000007</v>
      </c>
      <c r="H21" s="3">
        <f t="shared" si="0"/>
        <v>65.209999999999994</v>
      </c>
      <c r="I21" t="s">
        <v>11</v>
      </c>
      <c r="J21" t="s">
        <v>12</v>
      </c>
      <c r="K21" t="s">
        <v>13</v>
      </c>
    </row>
    <row r="22" spans="1:11" x14ac:dyDescent="0.3">
      <c r="A22" t="s">
        <v>42</v>
      </c>
      <c r="B22">
        <v>3</v>
      </c>
      <c r="C22" t="s">
        <v>14</v>
      </c>
      <c r="D22">
        <v>2</v>
      </c>
      <c r="F22" s="3">
        <v>55.66</v>
      </c>
      <c r="G22" s="3">
        <v>9.5500000000000007</v>
      </c>
      <c r="H22" s="3">
        <f t="shared" si="0"/>
        <v>65.209999999999994</v>
      </c>
      <c r="I22" t="s">
        <v>11</v>
      </c>
      <c r="J22" t="s">
        <v>12</v>
      </c>
      <c r="K22" t="s">
        <v>13</v>
      </c>
    </row>
    <row r="23" spans="1:11" x14ac:dyDescent="0.3">
      <c r="A23" t="s">
        <v>41</v>
      </c>
      <c r="B23">
        <v>3</v>
      </c>
      <c r="C23" t="s">
        <v>14</v>
      </c>
      <c r="D23">
        <v>3</v>
      </c>
      <c r="F23" s="3">
        <v>76.430000000000007</v>
      </c>
      <c r="G23" s="3">
        <v>16.899999999999999</v>
      </c>
      <c r="H23" s="3">
        <f t="shared" si="0"/>
        <v>93.330000000000013</v>
      </c>
      <c r="I23" t="s">
        <v>11</v>
      </c>
      <c r="J23" t="s">
        <v>12</v>
      </c>
      <c r="K23" t="s">
        <v>13</v>
      </c>
    </row>
    <row r="24" spans="1:11" x14ac:dyDescent="0.3">
      <c r="A24" t="s">
        <v>40</v>
      </c>
      <c r="B24">
        <v>3</v>
      </c>
      <c r="C24" t="s">
        <v>14</v>
      </c>
      <c r="D24">
        <v>3</v>
      </c>
      <c r="F24" s="3">
        <v>76.430000000000007</v>
      </c>
      <c r="G24" s="3">
        <v>16.899999999999999</v>
      </c>
      <c r="H24" s="3">
        <f t="shared" si="0"/>
        <v>93.330000000000013</v>
      </c>
      <c r="I24" t="s">
        <v>11</v>
      </c>
      <c r="J24" t="s">
        <v>12</v>
      </c>
      <c r="K24" t="s">
        <v>13</v>
      </c>
    </row>
    <row r="25" spans="1:11" x14ac:dyDescent="0.3">
      <c r="A25" t="s">
        <v>39</v>
      </c>
      <c r="B25">
        <v>3</v>
      </c>
      <c r="C25" t="s">
        <v>14</v>
      </c>
      <c r="D25">
        <v>2</v>
      </c>
      <c r="F25" s="3">
        <v>55.66</v>
      </c>
      <c r="G25" s="3">
        <v>9.5500000000000007</v>
      </c>
      <c r="H25" s="3">
        <f t="shared" si="0"/>
        <v>65.209999999999994</v>
      </c>
      <c r="I25" t="s">
        <v>11</v>
      </c>
      <c r="J25" t="s">
        <v>12</v>
      </c>
      <c r="K25" t="s">
        <v>13</v>
      </c>
    </row>
    <row r="26" spans="1:11" x14ac:dyDescent="0.3">
      <c r="A26" t="s">
        <v>38</v>
      </c>
      <c r="B26">
        <v>4</v>
      </c>
      <c r="C26" t="s">
        <v>14</v>
      </c>
      <c r="D26">
        <v>2</v>
      </c>
      <c r="F26" s="3">
        <v>55.66</v>
      </c>
      <c r="G26" s="3">
        <v>9.5500000000000007</v>
      </c>
      <c r="H26" s="3">
        <f t="shared" si="0"/>
        <v>65.209999999999994</v>
      </c>
      <c r="I26" t="s">
        <v>11</v>
      </c>
      <c r="J26" t="s">
        <v>12</v>
      </c>
      <c r="K26" t="s">
        <v>13</v>
      </c>
    </row>
    <row r="27" spans="1:11" x14ac:dyDescent="0.3">
      <c r="A27" t="s">
        <v>37</v>
      </c>
      <c r="B27">
        <v>4</v>
      </c>
      <c r="C27" t="s">
        <v>14</v>
      </c>
      <c r="D27">
        <v>3</v>
      </c>
      <c r="F27" s="3">
        <v>76.430000000000007</v>
      </c>
      <c r="G27" s="3">
        <v>16.899999999999999</v>
      </c>
      <c r="H27" s="3">
        <f t="shared" si="0"/>
        <v>93.330000000000013</v>
      </c>
      <c r="I27" t="s">
        <v>11</v>
      </c>
      <c r="J27" t="s">
        <v>12</v>
      </c>
      <c r="K27" t="s">
        <v>13</v>
      </c>
    </row>
    <row r="28" spans="1:11" x14ac:dyDescent="0.3">
      <c r="A28" t="s">
        <v>36</v>
      </c>
      <c r="B28">
        <v>4</v>
      </c>
      <c r="C28" t="s">
        <v>14</v>
      </c>
      <c r="D28">
        <v>3</v>
      </c>
      <c r="F28" s="3">
        <v>76.430000000000007</v>
      </c>
      <c r="G28" s="3">
        <v>16.899999999999999</v>
      </c>
      <c r="H28" s="3">
        <f t="shared" si="0"/>
        <v>93.330000000000013</v>
      </c>
      <c r="I28" t="s">
        <v>11</v>
      </c>
      <c r="J28" t="s">
        <v>12</v>
      </c>
      <c r="K28" t="s">
        <v>13</v>
      </c>
    </row>
    <row r="29" spans="1:11" x14ac:dyDescent="0.3">
      <c r="A29" t="s">
        <v>35</v>
      </c>
      <c r="B29">
        <v>4</v>
      </c>
      <c r="C29" t="s">
        <v>14</v>
      </c>
      <c r="D29">
        <v>2</v>
      </c>
      <c r="F29" s="3">
        <v>55.66</v>
      </c>
      <c r="G29" s="3">
        <v>9.5500000000000007</v>
      </c>
      <c r="H29" s="3">
        <f t="shared" si="0"/>
        <v>65.209999999999994</v>
      </c>
      <c r="I29" t="s">
        <v>11</v>
      </c>
      <c r="J29" t="s">
        <v>12</v>
      </c>
      <c r="K29" t="s">
        <v>13</v>
      </c>
    </row>
    <row r="30" spans="1:11" x14ac:dyDescent="0.3">
      <c r="A30" t="s">
        <v>34</v>
      </c>
      <c r="B30">
        <v>4</v>
      </c>
      <c r="C30" t="s">
        <v>14</v>
      </c>
      <c r="D30">
        <v>2</v>
      </c>
      <c r="F30" s="3">
        <v>55.66</v>
      </c>
      <c r="G30" s="3">
        <v>9.5500000000000007</v>
      </c>
      <c r="H30" s="3">
        <f t="shared" si="0"/>
        <v>65.209999999999994</v>
      </c>
      <c r="I30" t="s">
        <v>11</v>
      </c>
      <c r="J30" t="s">
        <v>12</v>
      </c>
      <c r="K30" t="s">
        <v>13</v>
      </c>
    </row>
    <row r="31" spans="1:11" x14ac:dyDescent="0.3">
      <c r="A31" t="s">
        <v>33</v>
      </c>
      <c r="B31">
        <v>4</v>
      </c>
      <c r="C31" t="s">
        <v>14</v>
      </c>
      <c r="D31">
        <v>3</v>
      </c>
      <c r="F31" s="3">
        <v>76.430000000000007</v>
      </c>
      <c r="G31" s="3">
        <v>16.899999999999999</v>
      </c>
      <c r="H31" s="3">
        <f t="shared" si="0"/>
        <v>93.330000000000013</v>
      </c>
      <c r="I31" t="s">
        <v>11</v>
      </c>
      <c r="J31" t="s">
        <v>12</v>
      </c>
      <c r="K31" t="s">
        <v>13</v>
      </c>
    </row>
    <row r="32" spans="1:11" x14ac:dyDescent="0.3">
      <c r="A32" t="s">
        <v>32</v>
      </c>
      <c r="B32">
        <v>4</v>
      </c>
      <c r="C32" t="s">
        <v>14</v>
      </c>
      <c r="D32">
        <v>3</v>
      </c>
      <c r="F32" s="3">
        <v>76.430000000000007</v>
      </c>
      <c r="G32" s="3">
        <v>16.899999999999999</v>
      </c>
      <c r="H32" s="3">
        <f t="shared" si="0"/>
        <v>93.330000000000013</v>
      </c>
      <c r="I32" t="s">
        <v>11</v>
      </c>
      <c r="J32" t="s">
        <v>12</v>
      </c>
      <c r="K32" t="s">
        <v>13</v>
      </c>
    </row>
    <row r="33" spans="1:11" x14ac:dyDescent="0.3">
      <c r="A33" t="s">
        <v>31</v>
      </c>
      <c r="B33">
        <v>4</v>
      </c>
      <c r="C33" t="s">
        <v>14</v>
      </c>
      <c r="D33">
        <v>2</v>
      </c>
      <c r="F33" s="3">
        <v>55.66</v>
      </c>
      <c r="G33" s="3">
        <v>9.5500000000000007</v>
      </c>
      <c r="H33" s="3">
        <f t="shared" si="0"/>
        <v>65.209999999999994</v>
      </c>
      <c r="I33" t="s">
        <v>11</v>
      </c>
      <c r="J33" t="s">
        <v>12</v>
      </c>
      <c r="K33" t="s">
        <v>13</v>
      </c>
    </row>
    <row r="34" spans="1:11" x14ac:dyDescent="0.3">
      <c r="A34" t="s">
        <v>30</v>
      </c>
      <c r="B34">
        <v>5</v>
      </c>
      <c r="C34" t="s">
        <v>14</v>
      </c>
      <c r="D34">
        <v>2</v>
      </c>
      <c r="F34" s="3">
        <v>55.66</v>
      </c>
      <c r="G34" s="3">
        <v>9.5500000000000007</v>
      </c>
      <c r="H34" s="3">
        <f t="shared" si="0"/>
        <v>65.209999999999994</v>
      </c>
      <c r="I34" t="s">
        <v>11</v>
      </c>
      <c r="J34" t="s">
        <v>12</v>
      </c>
      <c r="K34" t="s">
        <v>13</v>
      </c>
    </row>
    <row r="35" spans="1:11" x14ac:dyDescent="0.3">
      <c r="A35" t="s">
        <v>29</v>
      </c>
      <c r="B35">
        <v>5</v>
      </c>
      <c r="C35" t="s">
        <v>14</v>
      </c>
      <c r="D35">
        <v>3</v>
      </c>
      <c r="F35" s="3">
        <v>76.430000000000007</v>
      </c>
      <c r="G35" s="3">
        <v>16.899999999999999</v>
      </c>
      <c r="H35" s="3">
        <f t="shared" si="0"/>
        <v>93.330000000000013</v>
      </c>
      <c r="I35" t="s">
        <v>11</v>
      </c>
      <c r="J35" t="s">
        <v>12</v>
      </c>
      <c r="K35" t="s">
        <v>13</v>
      </c>
    </row>
    <row r="36" spans="1:11" x14ac:dyDescent="0.3">
      <c r="A36" t="s">
        <v>28</v>
      </c>
      <c r="B36">
        <v>5</v>
      </c>
      <c r="C36" t="s">
        <v>14</v>
      </c>
      <c r="D36">
        <v>3</v>
      </c>
      <c r="F36" s="3">
        <v>76.430000000000007</v>
      </c>
      <c r="G36" s="3">
        <v>16.899999999999999</v>
      </c>
      <c r="H36" s="3">
        <f t="shared" si="0"/>
        <v>93.330000000000013</v>
      </c>
      <c r="I36" t="s">
        <v>11</v>
      </c>
      <c r="J36" t="s">
        <v>12</v>
      </c>
      <c r="K36" t="s">
        <v>13</v>
      </c>
    </row>
    <row r="37" spans="1:11" x14ac:dyDescent="0.3">
      <c r="A37" t="s">
        <v>27</v>
      </c>
      <c r="B37">
        <v>5</v>
      </c>
      <c r="C37" t="s">
        <v>14</v>
      </c>
      <c r="D37">
        <v>2</v>
      </c>
      <c r="F37" s="3">
        <v>55.66</v>
      </c>
      <c r="G37" s="3">
        <v>9.5500000000000007</v>
      </c>
      <c r="H37" s="3">
        <f t="shared" si="0"/>
        <v>65.209999999999994</v>
      </c>
      <c r="I37" t="s">
        <v>11</v>
      </c>
      <c r="J37" t="s">
        <v>12</v>
      </c>
      <c r="K37" t="s">
        <v>13</v>
      </c>
    </row>
    <row r="38" spans="1:11" x14ac:dyDescent="0.3">
      <c r="A38" t="s">
        <v>26</v>
      </c>
      <c r="B38">
        <v>5</v>
      </c>
      <c r="C38" t="s">
        <v>14</v>
      </c>
      <c r="D38">
        <v>2</v>
      </c>
      <c r="F38" s="3">
        <v>55.66</v>
      </c>
      <c r="G38" s="3">
        <v>9.5500000000000007</v>
      </c>
      <c r="H38" s="3">
        <f t="shared" si="0"/>
        <v>65.209999999999994</v>
      </c>
      <c r="I38" t="s">
        <v>11</v>
      </c>
      <c r="J38" t="s">
        <v>12</v>
      </c>
      <c r="K38" t="s">
        <v>13</v>
      </c>
    </row>
    <row r="39" spans="1:11" x14ac:dyDescent="0.3">
      <c r="A39" t="s">
        <v>25</v>
      </c>
      <c r="B39">
        <v>5</v>
      </c>
      <c r="C39" t="s">
        <v>14</v>
      </c>
      <c r="D39">
        <v>3</v>
      </c>
      <c r="F39" s="3">
        <v>76.430000000000007</v>
      </c>
      <c r="G39" s="3">
        <v>16.899999999999999</v>
      </c>
      <c r="H39" s="3">
        <f t="shared" si="0"/>
        <v>93.330000000000013</v>
      </c>
      <c r="I39" t="s">
        <v>11</v>
      </c>
      <c r="J39" t="s">
        <v>12</v>
      </c>
      <c r="K39" t="s">
        <v>13</v>
      </c>
    </row>
    <row r="40" spans="1:11" x14ac:dyDescent="0.3">
      <c r="A40" t="s">
        <v>24</v>
      </c>
      <c r="B40">
        <v>5</v>
      </c>
      <c r="C40" t="s">
        <v>14</v>
      </c>
      <c r="D40">
        <v>3</v>
      </c>
      <c r="F40" s="3">
        <v>76.430000000000007</v>
      </c>
      <c r="G40" s="3">
        <v>16.899999999999999</v>
      </c>
      <c r="H40" s="3">
        <f t="shared" si="0"/>
        <v>93.330000000000013</v>
      </c>
      <c r="I40" t="s">
        <v>11</v>
      </c>
      <c r="J40" t="s">
        <v>12</v>
      </c>
      <c r="K40" t="s">
        <v>13</v>
      </c>
    </row>
    <row r="41" spans="1:11" x14ac:dyDescent="0.3">
      <c r="A41" t="s">
        <v>23</v>
      </c>
      <c r="B41">
        <v>5</v>
      </c>
      <c r="C41" t="s">
        <v>14</v>
      </c>
      <c r="D41">
        <v>2</v>
      </c>
      <c r="F41" s="3">
        <v>55.66</v>
      </c>
      <c r="G41" s="3">
        <v>9.5500000000000007</v>
      </c>
      <c r="H41" s="3">
        <f t="shared" si="0"/>
        <v>65.209999999999994</v>
      </c>
      <c r="I41" t="s">
        <v>11</v>
      </c>
      <c r="J41" t="s">
        <v>12</v>
      </c>
      <c r="K41" t="s">
        <v>13</v>
      </c>
    </row>
    <row r="42" spans="1:11" x14ac:dyDescent="0.3">
      <c r="A42" t="s">
        <v>22</v>
      </c>
      <c r="B42">
        <v>6</v>
      </c>
      <c r="C42" t="s">
        <v>14</v>
      </c>
      <c r="D42">
        <v>2</v>
      </c>
      <c r="F42" s="3">
        <v>50.93</v>
      </c>
      <c r="G42" s="3">
        <v>15.4</v>
      </c>
      <c r="H42" s="3">
        <f t="shared" si="0"/>
        <v>66.33</v>
      </c>
      <c r="I42" t="s">
        <v>11</v>
      </c>
      <c r="J42" t="s">
        <v>12</v>
      </c>
      <c r="K42" t="s">
        <v>13</v>
      </c>
    </row>
    <row r="43" spans="1:11" x14ac:dyDescent="0.3">
      <c r="A43" t="s">
        <v>21</v>
      </c>
      <c r="B43">
        <v>6</v>
      </c>
      <c r="C43" t="s">
        <v>14</v>
      </c>
      <c r="D43">
        <v>3</v>
      </c>
      <c r="F43" s="3">
        <v>69.44</v>
      </c>
      <c r="G43" s="3">
        <v>20.58</v>
      </c>
      <c r="H43" s="3">
        <f t="shared" si="0"/>
        <v>90.02</v>
      </c>
      <c r="I43" t="s">
        <v>11</v>
      </c>
      <c r="J43" t="s">
        <v>12</v>
      </c>
      <c r="K43" t="s">
        <v>13</v>
      </c>
    </row>
    <row r="44" spans="1:11" x14ac:dyDescent="0.3">
      <c r="A44" t="s">
        <v>20</v>
      </c>
      <c r="B44">
        <v>6</v>
      </c>
      <c r="C44" t="s">
        <v>14</v>
      </c>
      <c r="D44">
        <v>3</v>
      </c>
      <c r="F44" s="3">
        <v>69.44</v>
      </c>
      <c r="G44" s="3">
        <v>20.58</v>
      </c>
      <c r="H44" s="3">
        <f t="shared" si="0"/>
        <v>90.02</v>
      </c>
      <c r="I44" t="s">
        <v>11</v>
      </c>
      <c r="J44" t="s">
        <v>12</v>
      </c>
      <c r="K44" t="s">
        <v>13</v>
      </c>
    </row>
    <row r="45" spans="1:11" x14ac:dyDescent="0.3">
      <c r="A45" t="s">
        <v>19</v>
      </c>
      <c r="B45">
        <v>6</v>
      </c>
      <c r="C45" t="s">
        <v>14</v>
      </c>
      <c r="D45">
        <v>2</v>
      </c>
      <c r="F45" s="3">
        <v>50.93</v>
      </c>
      <c r="G45" s="3">
        <v>15.4</v>
      </c>
      <c r="H45" s="3">
        <f t="shared" si="0"/>
        <v>66.33</v>
      </c>
      <c r="I45" t="s">
        <v>11</v>
      </c>
      <c r="J45" t="s">
        <v>12</v>
      </c>
      <c r="K45" t="s">
        <v>13</v>
      </c>
    </row>
    <row r="46" spans="1:11" x14ac:dyDescent="0.3">
      <c r="A46" t="s">
        <v>18</v>
      </c>
      <c r="B46">
        <v>6</v>
      </c>
      <c r="C46" t="s">
        <v>14</v>
      </c>
      <c r="D46">
        <v>2</v>
      </c>
      <c r="F46" s="3">
        <v>50.93</v>
      </c>
      <c r="G46" s="3">
        <v>15.4</v>
      </c>
      <c r="H46" s="3">
        <f t="shared" si="0"/>
        <v>66.33</v>
      </c>
      <c r="I46" t="s">
        <v>11</v>
      </c>
      <c r="J46" t="s">
        <v>12</v>
      </c>
      <c r="K46" t="s">
        <v>13</v>
      </c>
    </row>
    <row r="47" spans="1:11" x14ac:dyDescent="0.3">
      <c r="A47" t="s">
        <v>17</v>
      </c>
      <c r="B47">
        <v>6</v>
      </c>
      <c r="C47" t="s">
        <v>14</v>
      </c>
      <c r="D47">
        <v>3</v>
      </c>
      <c r="F47" s="3">
        <v>69.44</v>
      </c>
      <c r="G47" s="3">
        <v>20.58</v>
      </c>
      <c r="H47" s="3">
        <f t="shared" si="0"/>
        <v>90.02</v>
      </c>
      <c r="I47" t="s">
        <v>11</v>
      </c>
      <c r="J47" t="s">
        <v>12</v>
      </c>
      <c r="K47" t="s">
        <v>13</v>
      </c>
    </row>
    <row r="48" spans="1:11" x14ac:dyDescent="0.3">
      <c r="A48" t="s">
        <v>16</v>
      </c>
      <c r="B48">
        <v>6</v>
      </c>
      <c r="C48" t="s">
        <v>14</v>
      </c>
      <c r="D48">
        <v>3</v>
      </c>
      <c r="F48" s="3">
        <v>69.44</v>
      </c>
      <c r="G48" s="3">
        <v>20.58</v>
      </c>
      <c r="H48" s="3">
        <f t="shared" si="0"/>
        <v>90.02</v>
      </c>
      <c r="I48" t="s">
        <v>11</v>
      </c>
      <c r="J48" t="s">
        <v>12</v>
      </c>
      <c r="K48" t="s">
        <v>13</v>
      </c>
    </row>
    <row r="49" spans="1:11" x14ac:dyDescent="0.3">
      <c r="A49" t="s">
        <v>15</v>
      </c>
      <c r="B49">
        <v>6</v>
      </c>
      <c r="C49" t="s">
        <v>14</v>
      </c>
      <c r="D49">
        <v>2</v>
      </c>
      <c r="F49" s="3">
        <v>50.93</v>
      </c>
      <c r="G49" s="3">
        <v>15.4</v>
      </c>
      <c r="H49" s="3">
        <f t="shared" si="0"/>
        <v>66.33</v>
      </c>
      <c r="I49" t="s">
        <v>11</v>
      </c>
      <c r="J49" t="s">
        <v>12</v>
      </c>
      <c r="K49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9E27-B3E9-4C76-8F8B-EEC65F7A1239}">
  <dimension ref="A1:L49"/>
  <sheetViews>
    <sheetView tabSelected="1" zoomScale="130" zoomScaleNormal="130" workbookViewId="0">
      <selection activeCell="L1" sqref="L1"/>
    </sheetView>
  </sheetViews>
  <sheetFormatPr baseColWidth="10" defaultRowHeight="14.4" x14ac:dyDescent="0.3"/>
  <cols>
    <col min="1" max="1" width="15.109375" bestFit="1" customWidth="1"/>
    <col min="2" max="2" width="6.77734375" bestFit="1" customWidth="1"/>
    <col min="3" max="3" width="15.44140625" bestFit="1" customWidth="1"/>
    <col min="4" max="4" width="15.5546875" bestFit="1" customWidth="1"/>
    <col min="5" max="5" width="13.88671875" bestFit="1" customWidth="1"/>
    <col min="6" max="6" width="22.33203125" style="1" bestFit="1" customWidth="1"/>
    <col min="7" max="7" width="17.44140625" bestFit="1" customWidth="1"/>
    <col min="8" max="8" width="15.44140625" bestFit="1" customWidth="1"/>
    <col min="9" max="9" width="20.44140625" bestFit="1" customWidth="1"/>
    <col min="10" max="10" width="15.33203125" bestFit="1" customWidth="1"/>
    <col min="11" max="11" width="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s="2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s="4" t="s">
        <v>63</v>
      </c>
    </row>
    <row r="2" spans="1:12" x14ac:dyDescent="0.3">
      <c r="A2" t="s">
        <v>64</v>
      </c>
      <c r="B2">
        <v>1</v>
      </c>
      <c r="C2" t="s">
        <v>14</v>
      </c>
      <c r="D2">
        <v>2</v>
      </c>
      <c r="F2" s="3" t="s">
        <v>113</v>
      </c>
      <c r="G2" s="3" t="s">
        <v>117</v>
      </c>
      <c r="H2" s="3" t="s">
        <v>121</v>
      </c>
      <c r="I2" t="s">
        <v>11</v>
      </c>
      <c r="J2" t="s">
        <v>12</v>
      </c>
      <c r="K2" t="s">
        <v>13</v>
      </c>
    </row>
    <row r="3" spans="1:12" x14ac:dyDescent="0.3">
      <c r="A3" t="s">
        <v>65</v>
      </c>
      <c r="B3">
        <v>1</v>
      </c>
      <c r="C3" t="s">
        <v>14</v>
      </c>
      <c r="D3">
        <v>1</v>
      </c>
      <c r="F3" s="3" t="s">
        <v>114</v>
      </c>
      <c r="G3" s="3" t="s">
        <v>118</v>
      </c>
      <c r="H3" s="3" t="s">
        <v>122</v>
      </c>
      <c r="I3" t="s">
        <v>11</v>
      </c>
      <c r="J3" t="s">
        <v>12</v>
      </c>
      <c r="K3" t="s">
        <v>13</v>
      </c>
    </row>
    <row r="4" spans="1:12" x14ac:dyDescent="0.3">
      <c r="A4" t="s">
        <v>66</v>
      </c>
      <c r="B4">
        <v>1</v>
      </c>
      <c r="C4" t="s">
        <v>14</v>
      </c>
      <c r="D4">
        <v>1</v>
      </c>
      <c r="F4" s="3" t="s">
        <v>114</v>
      </c>
      <c r="G4" s="3" t="s">
        <v>118</v>
      </c>
      <c r="H4" s="3" t="s">
        <v>122</v>
      </c>
      <c r="I4" t="s">
        <v>11</v>
      </c>
      <c r="J4" t="s">
        <v>12</v>
      </c>
      <c r="K4" t="s">
        <v>13</v>
      </c>
    </row>
    <row r="5" spans="1:12" x14ac:dyDescent="0.3">
      <c r="A5" t="s">
        <v>67</v>
      </c>
      <c r="B5">
        <v>1</v>
      </c>
      <c r="C5" t="s">
        <v>14</v>
      </c>
      <c r="D5">
        <v>2</v>
      </c>
      <c r="F5" s="3" t="s">
        <v>113</v>
      </c>
      <c r="G5" s="3" t="s">
        <v>117</v>
      </c>
      <c r="H5" s="3" t="s">
        <v>121</v>
      </c>
      <c r="I5" t="s">
        <v>11</v>
      </c>
      <c r="J5" t="s">
        <v>12</v>
      </c>
      <c r="K5" t="s">
        <v>13</v>
      </c>
    </row>
    <row r="6" spans="1:12" x14ac:dyDescent="0.3">
      <c r="A6" t="s">
        <v>68</v>
      </c>
      <c r="B6">
        <v>1</v>
      </c>
      <c r="C6" t="s">
        <v>112</v>
      </c>
      <c r="D6">
        <v>2</v>
      </c>
      <c r="F6" s="3" t="s">
        <v>113</v>
      </c>
      <c r="G6" s="3" t="s">
        <v>117</v>
      </c>
      <c r="H6" s="3" t="s">
        <v>121</v>
      </c>
      <c r="I6" t="s">
        <v>11</v>
      </c>
      <c r="J6" t="s">
        <v>12</v>
      </c>
      <c r="K6" t="s">
        <v>13</v>
      </c>
    </row>
    <row r="7" spans="1:12" x14ac:dyDescent="0.3">
      <c r="A7" t="s">
        <v>69</v>
      </c>
      <c r="B7">
        <v>1</v>
      </c>
      <c r="C7" t="s">
        <v>112</v>
      </c>
      <c r="D7">
        <v>1</v>
      </c>
      <c r="F7" s="3" t="s">
        <v>114</v>
      </c>
      <c r="G7" s="3" t="s">
        <v>118</v>
      </c>
      <c r="H7" s="3" t="s">
        <v>122</v>
      </c>
      <c r="I7" t="s">
        <v>11</v>
      </c>
      <c r="J7" t="s">
        <v>12</v>
      </c>
      <c r="K7" t="s">
        <v>13</v>
      </c>
    </row>
    <row r="8" spans="1:12" x14ac:dyDescent="0.3">
      <c r="A8" t="s">
        <v>70</v>
      </c>
      <c r="B8">
        <v>1</v>
      </c>
      <c r="C8" t="s">
        <v>112</v>
      </c>
      <c r="D8">
        <v>1</v>
      </c>
      <c r="F8" s="3" t="s">
        <v>114</v>
      </c>
      <c r="G8" s="3" t="s">
        <v>118</v>
      </c>
      <c r="H8" s="3" t="s">
        <v>122</v>
      </c>
      <c r="I8" t="s">
        <v>11</v>
      </c>
      <c r="J8" t="s">
        <v>12</v>
      </c>
      <c r="K8" t="s">
        <v>13</v>
      </c>
    </row>
    <row r="9" spans="1:12" x14ac:dyDescent="0.3">
      <c r="A9" t="s">
        <v>71</v>
      </c>
      <c r="B9">
        <v>1</v>
      </c>
      <c r="C9" t="s">
        <v>112</v>
      </c>
      <c r="D9">
        <v>2</v>
      </c>
      <c r="F9" s="3" t="s">
        <v>113</v>
      </c>
      <c r="G9" s="3" t="s">
        <v>117</v>
      </c>
      <c r="H9" s="3" t="s">
        <v>121</v>
      </c>
      <c r="I9" t="s">
        <v>11</v>
      </c>
      <c r="J9" t="s">
        <v>12</v>
      </c>
      <c r="K9" t="s">
        <v>13</v>
      </c>
    </row>
    <row r="10" spans="1:12" x14ac:dyDescent="0.3">
      <c r="A10" t="s">
        <v>72</v>
      </c>
      <c r="B10">
        <v>2</v>
      </c>
      <c r="C10" t="s">
        <v>14</v>
      </c>
      <c r="D10">
        <v>2</v>
      </c>
      <c r="F10" s="3" t="s">
        <v>113</v>
      </c>
      <c r="G10" s="3" t="s">
        <v>117</v>
      </c>
      <c r="H10" s="3" t="s">
        <v>121</v>
      </c>
      <c r="I10" t="s">
        <v>11</v>
      </c>
      <c r="J10" t="s">
        <v>12</v>
      </c>
      <c r="K10" t="s">
        <v>13</v>
      </c>
    </row>
    <row r="11" spans="1:12" x14ac:dyDescent="0.3">
      <c r="A11" t="s">
        <v>73</v>
      </c>
      <c r="B11">
        <v>2</v>
      </c>
      <c r="C11" t="s">
        <v>14</v>
      </c>
      <c r="D11">
        <v>1</v>
      </c>
      <c r="F11" s="3" t="s">
        <v>114</v>
      </c>
      <c r="G11" s="3" t="s">
        <v>118</v>
      </c>
      <c r="H11" s="3" t="s">
        <v>122</v>
      </c>
      <c r="I11" t="s">
        <v>11</v>
      </c>
      <c r="J11" t="s">
        <v>12</v>
      </c>
      <c r="K11" t="s">
        <v>13</v>
      </c>
    </row>
    <row r="12" spans="1:12" x14ac:dyDescent="0.3">
      <c r="A12" t="s">
        <v>74</v>
      </c>
      <c r="B12">
        <v>2</v>
      </c>
      <c r="C12" t="s">
        <v>14</v>
      </c>
      <c r="D12">
        <v>1</v>
      </c>
      <c r="F12" s="3" t="s">
        <v>114</v>
      </c>
      <c r="G12" s="3" t="s">
        <v>118</v>
      </c>
      <c r="H12" s="3" t="s">
        <v>122</v>
      </c>
      <c r="I12" t="s">
        <v>11</v>
      </c>
      <c r="J12" t="s">
        <v>12</v>
      </c>
      <c r="K12" t="s">
        <v>13</v>
      </c>
    </row>
    <row r="13" spans="1:12" x14ac:dyDescent="0.3">
      <c r="A13" t="s">
        <v>75</v>
      </c>
      <c r="B13">
        <v>2</v>
      </c>
      <c r="C13" t="s">
        <v>14</v>
      </c>
      <c r="D13">
        <v>2</v>
      </c>
      <c r="F13" s="3" t="s">
        <v>113</v>
      </c>
      <c r="G13" s="3" t="s">
        <v>117</v>
      </c>
      <c r="H13" s="3" t="s">
        <v>121</v>
      </c>
      <c r="I13" t="s">
        <v>11</v>
      </c>
      <c r="J13" t="s">
        <v>12</v>
      </c>
      <c r="K13" t="s">
        <v>13</v>
      </c>
    </row>
    <row r="14" spans="1:12" x14ac:dyDescent="0.3">
      <c r="A14" t="s">
        <v>76</v>
      </c>
      <c r="B14">
        <v>2</v>
      </c>
      <c r="C14" t="s">
        <v>112</v>
      </c>
      <c r="D14">
        <v>2</v>
      </c>
      <c r="F14" s="3" t="s">
        <v>113</v>
      </c>
      <c r="G14" s="3" t="s">
        <v>117</v>
      </c>
      <c r="H14" s="3" t="s">
        <v>121</v>
      </c>
      <c r="I14" t="s">
        <v>11</v>
      </c>
      <c r="J14" t="s">
        <v>12</v>
      </c>
      <c r="K14" t="s">
        <v>13</v>
      </c>
    </row>
    <row r="15" spans="1:12" x14ac:dyDescent="0.3">
      <c r="A15" t="s">
        <v>77</v>
      </c>
      <c r="B15">
        <v>2</v>
      </c>
      <c r="C15" t="s">
        <v>112</v>
      </c>
      <c r="D15">
        <v>1</v>
      </c>
      <c r="F15" s="3" t="s">
        <v>114</v>
      </c>
      <c r="G15" s="3" t="s">
        <v>118</v>
      </c>
      <c r="H15" s="3" t="s">
        <v>122</v>
      </c>
      <c r="I15" t="s">
        <v>11</v>
      </c>
      <c r="J15" t="s">
        <v>12</v>
      </c>
      <c r="K15" t="s">
        <v>13</v>
      </c>
    </row>
    <row r="16" spans="1:12" x14ac:dyDescent="0.3">
      <c r="A16" t="s">
        <v>78</v>
      </c>
      <c r="B16">
        <v>2</v>
      </c>
      <c r="C16" t="s">
        <v>112</v>
      </c>
      <c r="D16">
        <v>1</v>
      </c>
      <c r="F16" s="3" t="s">
        <v>114</v>
      </c>
      <c r="G16" s="3" t="s">
        <v>118</v>
      </c>
      <c r="H16" s="3" t="s">
        <v>122</v>
      </c>
      <c r="I16" t="s">
        <v>11</v>
      </c>
      <c r="J16" t="s">
        <v>12</v>
      </c>
      <c r="K16" t="s">
        <v>13</v>
      </c>
    </row>
    <row r="17" spans="1:11" x14ac:dyDescent="0.3">
      <c r="A17" t="s">
        <v>79</v>
      </c>
      <c r="B17">
        <v>2</v>
      </c>
      <c r="C17" t="s">
        <v>112</v>
      </c>
      <c r="D17">
        <v>2</v>
      </c>
      <c r="F17" s="3" t="s">
        <v>113</v>
      </c>
      <c r="G17" s="3" t="s">
        <v>117</v>
      </c>
      <c r="H17" s="3" t="s">
        <v>121</v>
      </c>
      <c r="I17" t="s">
        <v>11</v>
      </c>
      <c r="J17" t="s">
        <v>12</v>
      </c>
      <c r="K17" t="s">
        <v>13</v>
      </c>
    </row>
    <row r="18" spans="1:11" x14ac:dyDescent="0.3">
      <c r="A18" t="s">
        <v>80</v>
      </c>
      <c r="B18">
        <v>3</v>
      </c>
      <c r="C18" t="s">
        <v>14</v>
      </c>
      <c r="D18">
        <v>2</v>
      </c>
      <c r="F18" s="3" t="s">
        <v>113</v>
      </c>
      <c r="G18" s="3" t="s">
        <v>117</v>
      </c>
      <c r="H18" s="3" t="s">
        <v>121</v>
      </c>
      <c r="I18" t="s">
        <v>11</v>
      </c>
      <c r="J18" t="s">
        <v>12</v>
      </c>
      <c r="K18" t="s">
        <v>13</v>
      </c>
    </row>
    <row r="19" spans="1:11" x14ac:dyDescent="0.3">
      <c r="A19" t="s">
        <v>81</v>
      </c>
      <c r="B19">
        <v>3</v>
      </c>
      <c r="C19" t="s">
        <v>14</v>
      </c>
      <c r="D19">
        <v>1</v>
      </c>
      <c r="F19" s="3" t="s">
        <v>114</v>
      </c>
      <c r="G19" s="3" t="s">
        <v>118</v>
      </c>
      <c r="H19" s="3" t="s">
        <v>122</v>
      </c>
      <c r="I19" t="s">
        <v>11</v>
      </c>
      <c r="J19" t="s">
        <v>12</v>
      </c>
      <c r="K19" t="s">
        <v>13</v>
      </c>
    </row>
    <row r="20" spans="1:11" x14ac:dyDescent="0.3">
      <c r="A20" t="s">
        <v>82</v>
      </c>
      <c r="B20">
        <v>3</v>
      </c>
      <c r="C20" t="s">
        <v>14</v>
      </c>
      <c r="D20">
        <v>1</v>
      </c>
      <c r="F20" s="3" t="s">
        <v>114</v>
      </c>
      <c r="G20" s="3" t="s">
        <v>118</v>
      </c>
      <c r="H20" s="3" t="s">
        <v>122</v>
      </c>
      <c r="I20" t="s">
        <v>11</v>
      </c>
      <c r="J20" t="s">
        <v>12</v>
      </c>
      <c r="K20" t="s">
        <v>13</v>
      </c>
    </row>
    <row r="21" spans="1:11" x14ac:dyDescent="0.3">
      <c r="A21" t="s">
        <v>83</v>
      </c>
      <c r="B21">
        <v>3</v>
      </c>
      <c r="C21" t="s">
        <v>14</v>
      </c>
      <c r="D21">
        <v>2</v>
      </c>
      <c r="F21" s="3" t="s">
        <v>113</v>
      </c>
      <c r="G21" s="3" t="s">
        <v>117</v>
      </c>
      <c r="H21" s="3" t="s">
        <v>121</v>
      </c>
      <c r="I21" t="s">
        <v>11</v>
      </c>
      <c r="J21" t="s">
        <v>12</v>
      </c>
      <c r="K21" t="s">
        <v>13</v>
      </c>
    </row>
    <row r="22" spans="1:11" x14ac:dyDescent="0.3">
      <c r="A22" t="s">
        <v>84</v>
      </c>
      <c r="B22">
        <v>3</v>
      </c>
      <c r="C22" t="s">
        <v>112</v>
      </c>
      <c r="D22">
        <v>2</v>
      </c>
      <c r="F22" s="3" t="s">
        <v>113</v>
      </c>
      <c r="G22" s="3" t="s">
        <v>117</v>
      </c>
      <c r="H22" s="3" t="s">
        <v>121</v>
      </c>
      <c r="I22" t="s">
        <v>11</v>
      </c>
      <c r="J22" t="s">
        <v>12</v>
      </c>
      <c r="K22" t="s">
        <v>13</v>
      </c>
    </row>
    <row r="23" spans="1:11" x14ac:dyDescent="0.3">
      <c r="A23" t="s">
        <v>85</v>
      </c>
      <c r="B23">
        <v>3</v>
      </c>
      <c r="C23" t="s">
        <v>112</v>
      </c>
      <c r="D23">
        <v>1</v>
      </c>
      <c r="F23" s="3" t="s">
        <v>114</v>
      </c>
      <c r="G23" s="3" t="s">
        <v>118</v>
      </c>
      <c r="H23" s="3" t="s">
        <v>122</v>
      </c>
      <c r="I23" t="s">
        <v>11</v>
      </c>
      <c r="J23" t="s">
        <v>12</v>
      </c>
      <c r="K23" t="s">
        <v>13</v>
      </c>
    </row>
    <row r="24" spans="1:11" x14ac:dyDescent="0.3">
      <c r="A24" t="s">
        <v>86</v>
      </c>
      <c r="B24">
        <v>3</v>
      </c>
      <c r="C24" t="s">
        <v>112</v>
      </c>
      <c r="D24">
        <v>1</v>
      </c>
      <c r="F24" s="3" t="s">
        <v>114</v>
      </c>
      <c r="G24" s="3" t="s">
        <v>118</v>
      </c>
      <c r="H24" s="3" t="s">
        <v>122</v>
      </c>
      <c r="I24" t="s">
        <v>11</v>
      </c>
      <c r="J24" t="s">
        <v>12</v>
      </c>
      <c r="K24" t="s">
        <v>13</v>
      </c>
    </row>
    <row r="25" spans="1:11" x14ac:dyDescent="0.3">
      <c r="A25" t="s">
        <v>87</v>
      </c>
      <c r="B25">
        <v>3</v>
      </c>
      <c r="C25" t="s">
        <v>112</v>
      </c>
      <c r="D25">
        <v>2</v>
      </c>
      <c r="F25" s="3" t="s">
        <v>113</v>
      </c>
      <c r="G25" s="3" t="s">
        <v>117</v>
      </c>
      <c r="H25" s="3" t="s">
        <v>121</v>
      </c>
      <c r="I25" t="s">
        <v>11</v>
      </c>
      <c r="J25" t="s">
        <v>12</v>
      </c>
      <c r="K25" t="s">
        <v>13</v>
      </c>
    </row>
    <row r="26" spans="1:11" x14ac:dyDescent="0.3">
      <c r="A26" t="s">
        <v>88</v>
      </c>
      <c r="B26">
        <v>4</v>
      </c>
      <c r="C26" t="s">
        <v>14</v>
      </c>
      <c r="D26">
        <v>2</v>
      </c>
      <c r="F26" s="3" t="s">
        <v>113</v>
      </c>
      <c r="G26" s="3" t="s">
        <v>117</v>
      </c>
      <c r="H26" s="3" t="s">
        <v>121</v>
      </c>
      <c r="I26" t="s">
        <v>11</v>
      </c>
      <c r="J26" t="s">
        <v>12</v>
      </c>
      <c r="K26" t="s">
        <v>13</v>
      </c>
    </row>
    <row r="27" spans="1:11" x14ac:dyDescent="0.3">
      <c r="A27" t="s">
        <v>89</v>
      </c>
      <c r="B27">
        <v>4</v>
      </c>
      <c r="C27" t="s">
        <v>14</v>
      </c>
      <c r="D27">
        <v>1</v>
      </c>
      <c r="F27" s="3" t="s">
        <v>114</v>
      </c>
      <c r="G27" s="3" t="s">
        <v>118</v>
      </c>
      <c r="H27" s="3" t="s">
        <v>122</v>
      </c>
      <c r="I27" t="s">
        <v>11</v>
      </c>
      <c r="J27" t="s">
        <v>12</v>
      </c>
      <c r="K27" t="s">
        <v>13</v>
      </c>
    </row>
    <row r="28" spans="1:11" x14ac:dyDescent="0.3">
      <c r="A28" t="s">
        <v>90</v>
      </c>
      <c r="B28">
        <v>4</v>
      </c>
      <c r="C28" t="s">
        <v>14</v>
      </c>
      <c r="D28">
        <v>1</v>
      </c>
      <c r="F28" s="3" t="s">
        <v>114</v>
      </c>
      <c r="G28" s="3" t="s">
        <v>118</v>
      </c>
      <c r="H28" s="3" t="s">
        <v>122</v>
      </c>
      <c r="I28" t="s">
        <v>11</v>
      </c>
      <c r="J28" t="s">
        <v>12</v>
      </c>
      <c r="K28" t="s">
        <v>13</v>
      </c>
    </row>
    <row r="29" spans="1:11" x14ac:dyDescent="0.3">
      <c r="A29" t="s">
        <v>91</v>
      </c>
      <c r="B29">
        <v>4</v>
      </c>
      <c r="C29" t="s">
        <v>14</v>
      </c>
      <c r="D29">
        <v>2</v>
      </c>
      <c r="F29" s="3" t="s">
        <v>113</v>
      </c>
      <c r="G29" s="3" t="s">
        <v>117</v>
      </c>
      <c r="H29" s="3" t="s">
        <v>121</v>
      </c>
      <c r="I29" t="s">
        <v>11</v>
      </c>
      <c r="J29" t="s">
        <v>12</v>
      </c>
      <c r="K29" t="s">
        <v>13</v>
      </c>
    </row>
    <row r="30" spans="1:11" x14ac:dyDescent="0.3">
      <c r="A30" t="s">
        <v>92</v>
      </c>
      <c r="B30">
        <v>4</v>
      </c>
      <c r="C30" t="s">
        <v>112</v>
      </c>
      <c r="D30">
        <v>2</v>
      </c>
      <c r="F30" s="3" t="s">
        <v>113</v>
      </c>
      <c r="G30" s="3" t="s">
        <v>117</v>
      </c>
      <c r="H30" s="3" t="s">
        <v>121</v>
      </c>
      <c r="I30" t="s">
        <v>11</v>
      </c>
      <c r="J30" t="s">
        <v>12</v>
      </c>
      <c r="K30" t="s">
        <v>13</v>
      </c>
    </row>
    <row r="31" spans="1:11" x14ac:dyDescent="0.3">
      <c r="A31" t="s">
        <v>93</v>
      </c>
      <c r="B31">
        <v>4</v>
      </c>
      <c r="C31" t="s">
        <v>112</v>
      </c>
      <c r="D31">
        <v>1</v>
      </c>
      <c r="F31" s="3" t="s">
        <v>114</v>
      </c>
      <c r="G31" s="3" t="s">
        <v>118</v>
      </c>
      <c r="H31" s="3" t="s">
        <v>122</v>
      </c>
      <c r="I31" t="s">
        <v>11</v>
      </c>
      <c r="J31" t="s">
        <v>12</v>
      </c>
      <c r="K31" t="s">
        <v>13</v>
      </c>
    </row>
    <row r="32" spans="1:11" x14ac:dyDescent="0.3">
      <c r="A32" t="s">
        <v>94</v>
      </c>
      <c r="B32">
        <v>4</v>
      </c>
      <c r="C32" t="s">
        <v>112</v>
      </c>
      <c r="D32">
        <v>1</v>
      </c>
      <c r="F32" s="3" t="s">
        <v>114</v>
      </c>
      <c r="G32" s="3" t="s">
        <v>118</v>
      </c>
      <c r="H32" s="3" t="s">
        <v>122</v>
      </c>
      <c r="I32" t="s">
        <v>11</v>
      </c>
      <c r="J32" t="s">
        <v>12</v>
      </c>
      <c r="K32" t="s">
        <v>13</v>
      </c>
    </row>
    <row r="33" spans="1:11" x14ac:dyDescent="0.3">
      <c r="A33" t="s">
        <v>95</v>
      </c>
      <c r="B33">
        <v>4</v>
      </c>
      <c r="C33" t="s">
        <v>112</v>
      </c>
      <c r="D33">
        <v>2</v>
      </c>
      <c r="F33" s="3" t="s">
        <v>113</v>
      </c>
      <c r="G33" s="3" t="s">
        <v>117</v>
      </c>
      <c r="H33" s="3" t="s">
        <v>121</v>
      </c>
      <c r="I33" t="s">
        <v>11</v>
      </c>
      <c r="J33" t="s">
        <v>12</v>
      </c>
      <c r="K33" t="s">
        <v>13</v>
      </c>
    </row>
    <row r="34" spans="1:11" x14ac:dyDescent="0.3">
      <c r="A34" t="s">
        <v>96</v>
      </c>
      <c r="B34">
        <v>5</v>
      </c>
      <c r="C34" t="s">
        <v>14</v>
      </c>
      <c r="D34">
        <v>2</v>
      </c>
      <c r="F34" s="3" t="s">
        <v>113</v>
      </c>
      <c r="G34" s="3" t="s">
        <v>117</v>
      </c>
      <c r="H34" s="3" t="s">
        <v>121</v>
      </c>
      <c r="I34" t="s">
        <v>11</v>
      </c>
      <c r="J34" t="s">
        <v>12</v>
      </c>
      <c r="K34" t="s">
        <v>13</v>
      </c>
    </row>
    <row r="35" spans="1:11" x14ac:dyDescent="0.3">
      <c r="A35" t="s">
        <v>97</v>
      </c>
      <c r="B35">
        <v>5</v>
      </c>
      <c r="C35" t="s">
        <v>14</v>
      </c>
      <c r="D35">
        <v>1</v>
      </c>
      <c r="F35" s="3" t="s">
        <v>114</v>
      </c>
      <c r="G35" s="3" t="s">
        <v>118</v>
      </c>
      <c r="H35" s="3" t="s">
        <v>122</v>
      </c>
      <c r="I35" t="s">
        <v>11</v>
      </c>
      <c r="J35" t="s">
        <v>12</v>
      </c>
      <c r="K35" t="s">
        <v>13</v>
      </c>
    </row>
    <row r="36" spans="1:11" x14ac:dyDescent="0.3">
      <c r="A36" t="s">
        <v>98</v>
      </c>
      <c r="B36">
        <v>5</v>
      </c>
      <c r="C36" t="s">
        <v>14</v>
      </c>
      <c r="D36">
        <v>1</v>
      </c>
      <c r="F36" s="3" t="s">
        <v>114</v>
      </c>
      <c r="G36" s="3" t="s">
        <v>118</v>
      </c>
      <c r="H36" s="3" t="s">
        <v>122</v>
      </c>
      <c r="I36" t="s">
        <v>11</v>
      </c>
      <c r="J36" t="s">
        <v>12</v>
      </c>
      <c r="K36" t="s">
        <v>13</v>
      </c>
    </row>
    <row r="37" spans="1:11" x14ac:dyDescent="0.3">
      <c r="A37" t="s">
        <v>99</v>
      </c>
      <c r="B37">
        <v>5</v>
      </c>
      <c r="C37" t="s">
        <v>14</v>
      </c>
      <c r="D37">
        <v>2</v>
      </c>
      <c r="F37" s="3" t="s">
        <v>113</v>
      </c>
      <c r="G37" s="3" t="s">
        <v>117</v>
      </c>
      <c r="H37" s="3" t="s">
        <v>121</v>
      </c>
      <c r="I37" t="s">
        <v>11</v>
      </c>
      <c r="J37" t="s">
        <v>12</v>
      </c>
      <c r="K37" t="s">
        <v>13</v>
      </c>
    </row>
    <row r="38" spans="1:11" x14ac:dyDescent="0.3">
      <c r="A38" t="s">
        <v>100</v>
      </c>
      <c r="B38">
        <v>5</v>
      </c>
      <c r="C38" t="s">
        <v>112</v>
      </c>
      <c r="D38">
        <v>2</v>
      </c>
      <c r="F38" s="3" t="s">
        <v>113</v>
      </c>
      <c r="G38" s="3" t="s">
        <v>117</v>
      </c>
      <c r="H38" s="3" t="s">
        <v>121</v>
      </c>
      <c r="I38" t="s">
        <v>11</v>
      </c>
      <c r="J38" t="s">
        <v>12</v>
      </c>
      <c r="K38" t="s">
        <v>13</v>
      </c>
    </row>
    <row r="39" spans="1:11" x14ac:dyDescent="0.3">
      <c r="A39" t="s">
        <v>101</v>
      </c>
      <c r="B39">
        <v>5</v>
      </c>
      <c r="C39" t="s">
        <v>112</v>
      </c>
      <c r="D39">
        <v>1</v>
      </c>
      <c r="F39" s="3" t="s">
        <v>114</v>
      </c>
      <c r="G39" s="3" t="s">
        <v>118</v>
      </c>
      <c r="H39" s="3" t="s">
        <v>122</v>
      </c>
      <c r="I39" t="s">
        <v>11</v>
      </c>
      <c r="J39" t="s">
        <v>12</v>
      </c>
      <c r="K39" t="s">
        <v>13</v>
      </c>
    </row>
    <row r="40" spans="1:11" x14ac:dyDescent="0.3">
      <c r="A40" t="s">
        <v>102</v>
      </c>
      <c r="B40">
        <v>5</v>
      </c>
      <c r="C40" t="s">
        <v>112</v>
      </c>
      <c r="D40">
        <v>1</v>
      </c>
      <c r="F40" s="3" t="s">
        <v>114</v>
      </c>
      <c r="G40" s="3" t="s">
        <v>118</v>
      </c>
      <c r="H40" s="3" t="s">
        <v>122</v>
      </c>
      <c r="I40" t="s">
        <v>11</v>
      </c>
      <c r="J40" t="s">
        <v>12</v>
      </c>
      <c r="K40" t="s">
        <v>13</v>
      </c>
    </row>
    <row r="41" spans="1:11" x14ac:dyDescent="0.3">
      <c r="A41" t="s">
        <v>103</v>
      </c>
      <c r="B41">
        <v>5</v>
      </c>
      <c r="C41" t="s">
        <v>112</v>
      </c>
      <c r="D41">
        <v>2</v>
      </c>
      <c r="F41" s="3" t="s">
        <v>113</v>
      </c>
      <c r="G41" s="3" t="s">
        <v>117</v>
      </c>
      <c r="H41" s="3" t="s">
        <v>121</v>
      </c>
      <c r="I41" t="s">
        <v>11</v>
      </c>
      <c r="J41" t="s">
        <v>12</v>
      </c>
      <c r="K41" t="s">
        <v>13</v>
      </c>
    </row>
    <row r="42" spans="1:11" x14ac:dyDescent="0.3">
      <c r="A42" t="s">
        <v>104</v>
      </c>
      <c r="B42">
        <v>6</v>
      </c>
      <c r="C42" t="s">
        <v>14</v>
      </c>
      <c r="D42">
        <v>1</v>
      </c>
      <c r="F42" s="3" t="s">
        <v>115</v>
      </c>
      <c r="G42" s="3" t="s">
        <v>119</v>
      </c>
      <c r="H42" s="3" t="s">
        <v>123</v>
      </c>
      <c r="I42" t="s">
        <v>11</v>
      </c>
      <c r="J42" t="s">
        <v>12</v>
      </c>
      <c r="K42" t="s">
        <v>13</v>
      </c>
    </row>
    <row r="43" spans="1:11" x14ac:dyDescent="0.3">
      <c r="A43" t="s">
        <v>105</v>
      </c>
      <c r="B43">
        <v>6</v>
      </c>
      <c r="C43" t="s">
        <v>14</v>
      </c>
      <c r="D43">
        <v>1</v>
      </c>
      <c r="F43" s="3" t="s">
        <v>116</v>
      </c>
      <c r="G43" s="3" t="s">
        <v>120</v>
      </c>
      <c r="H43" s="3" t="s">
        <v>124</v>
      </c>
      <c r="I43" t="s">
        <v>11</v>
      </c>
      <c r="J43" t="s">
        <v>12</v>
      </c>
      <c r="K43" t="s">
        <v>13</v>
      </c>
    </row>
    <row r="44" spans="1:11" x14ac:dyDescent="0.3">
      <c r="A44" t="s">
        <v>106</v>
      </c>
      <c r="B44">
        <v>6</v>
      </c>
      <c r="C44" t="s">
        <v>14</v>
      </c>
      <c r="D44">
        <v>1</v>
      </c>
      <c r="F44" s="3" t="s">
        <v>116</v>
      </c>
      <c r="G44" s="3" t="s">
        <v>120</v>
      </c>
      <c r="H44" s="3" t="s">
        <v>124</v>
      </c>
      <c r="I44" t="s">
        <v>11</v>
      </c>
      <c r="J44" t="s">
        <v>12</v>
      </c>
      <c r="K44" t="s">
        <v>13</v>
      </c>
    </row>
    <row r="45" spans="1:11" x14ac:dyDescent="0.3">
      <c r="A45" t="s">
        <v>107</v>
      </c>
      <c r="B45">
        <v>6</v>
      </c>
      <c r="C45" t="s">
        <v>14</v>
      </c>
      <c r="D45">
        <v>1</v>
      </c>
      <c r="F45" s="3" t="s">
        <v>115</v>
      </c>
      <c r="G45" s="3" t="s">
        <v>119</v>
      </c>
      <c r="H45" s="3" t="s">
        <v>123</v>
      </c>
      <c r="I45" t="s">
        <v>11</v>
      </c>
      <c r="J45" t="s">
        <v>12</v>
      </c>
      <c r="K45" t="s">
        <v>13</v>
      </c>
    </row>
    <row r="46" spans="1:11" x14ac:dyDescent="0.3">
      <c r="A46" t="s">
        <v>108</v>
      </c>
      <c r="B46">
        <v>6</v>
      </c>
      <c r="C46" t="s">
        <v>112</v>
      </c>
      <c r="D46">
        <v>1</v>
      </c>
      <c r="F46" s="3" t="s">
        <v>115</v>
      </c>
      <c r="G46" s="3" t="s">
        <v>119</v>
      </c>
      <c r="H46" s="3" t="s">
        <v>123</v>
      </c>
      <c r="I46" t="s">
        <v>11</v>
      </c>
      <c r="J46" t="s">
        <v>12</v>
      </c>
      <c r="K46" t="s">
        <v>13</v>
      </c>
    </row>
    <row r="47" spans="1:11" x14ac:dyDescent="0.3">
      <c r="A47" t="s">
        <v>109</v>
      </c>
      <c r="B47">
        <v>6</v>
      </c>
      <c r="C47" t="s">
        <v>112</v>
      </c>
      <c r="D47">
        <v>1</v>
      </c>
      <c r="F47" s="3" t="s">
        <v>116</v>
      </c>
      <c r="G47" s="3" t="s">
        <v>120</v>
      </c>
      <c r="H47" s="3" t="s">
        <v>124</v>
      </c>
      <c r="I47" t="s">
        <v>11</v>
      </c>
      <c r="J47" t="s">
        <v>12</v>
      </c>
      <c r="K47" t="s">
        <v>13</v>
      </c>
    </row>
    <row r="48" spans="1:11" x14ac:dyDescent="0.3">
      <c r="A48" t="s">
        <v>110</v>
      </c>
      <c r="B48">
        <v>6</v>
      </c>
      <c r="C48" t="s">
        <v>112</v>
      </c>
      <c r="D48">
        <v>1</v>
      </c>
      <c r="F48" s="3" t="s">
        <v>116</v>
      </c>
      <c r="G48" s="3" t="s">
        <v>120</v>
      </c>
      <c r="H48" s="3" t="s">
        <v>124</v>
      </c>
      <c r="I48" t="s">
        <v>11</v>
      </c>
      <c r="J48" t="s">
        <v>12</v>
      </c>
      <c r="K48" t="s">
        <v>13</v>
      </c>
    </row>
    <row r="49" spans="1:11" x14ac:dyDescent="0.3">
      <c r="A49" t="s">
        <v>111</v>
      </c>
      <c r="B49">
        <v>6</v>
      </c>
      <c r="C49" t="s">
        <v>112</v>
      </c>
      <c r="D49">
        <v>1</v>
      </c>
      <c r="F49" s="3" t="s">
        <v>115</v>
      </c>
      <c r="G49" s="3" t="s">
        <v>119</v>
      </c>
      <c r="H49" s="3" t="s">
        <v>123</v>
      </c>
      <c r="I49" t="s">
        <v>11</v>
      </c>
      <c r="J49" t="s">
        <v>12</v>
      </c>
      <c r="K49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FF3067-3293-4C43-A143-22BD9EE56E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Liva</vt:lpstr>
      <vt:lpstr>Seiva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Galindo</dc:creator>
  <cp:lastModifiedBy>Rubén Galindo</cp:lastModifiedBy>
  <dcterms:created xsi:type="dcterms:W3CDTF">2026-03-24T14:59:41Z</dcterms:created>
  <dcterms:modified xsi:type="dcterms:W3CDTF">2026-03-27T16:45:12Z</dcterms:modified>
</cp:coreProperties>
</file>